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998E1EF-FAF2-4CC1-923E-1798E5936C40}" xr6:coauthVersionLast="47" xr6:coauthVersionMax="47" xr10:uidLastSave="{00000000-0000-0000-0000-000000000000}"/>
  <bookViews>
    <workbookView xWindow="-120" yWindow="-120" windowWidth="20730" windowHeight="11160" firstSheet="4" activeTab="8" xr2:uid="{00000000-000D-0000-FFFF-FFFF00000000}"/>
  </bookViews>
  <sheets>
    <sheet name="1866(ZAIN)" sheetId="10" r:id="rId1"/>
    <sheet name="DATA" sheetId="1" r:id="rId2"/>
    <sheet name="P&amp;L" sheetId="2" r:id="rId3"/>
    <sheet name="FIXED ASSETS " sheetId="3" r:id="rId4"/>
    <sheet name="BALANCE SHEET" sheetId="5" r:id="rId5"/>
    <sheet name="FINANCIAL LIABILITIES" sheetId="4" r:id="rId6"/>
    <sheet name="EQUITY" sheetId="6" r:id="rId7"/>
    <sheet name="CASH FLOW" sheetId="7" r:id="rId8"/>
    <sheet name="FIRM VALUE" sheetId="8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8" l="1"/>
  <c r="F22" i="8"/>
  <c r="G22" i="8"/>
  <c r="H22" i="8"/>
  <c r="H23" i="8" s="1"/>
  <c r="E22" i="8"/>
  <c r="D22" i="8"/>
  <c r="E21" i="8"/>
  <c r="F21" i="8" s="1"/>
  <c r="G21" i="8" s="1"/>
  <c r="H21" i="8" s="1"/>
  <c r="D14" i="8" l="1"/>
  <c r="E5" i="8"/>
  <c r="F5" i="8"/>
  <c r="G5" i="8"/>
  <c r="H5" i="8"/>
  <c r="I5" i="8"/>
  <c r="J5" i="8"/>
  <c r="K5" i="8"/>
  <c r="D5" i="8"/>
  <c r="D6" i="8"/>
  <c r="E6" i="8"/>
  <c r="F6" i="8"/>
  <c r="G6" i="8"/>
  <c r="H6" i="8"/>
  <c r="I6" i="8"/>
  <c r="J6" i="8"/>
  <c r="K6" i="8"/>
  <c r="K10" i="8" l="1"/>
  <c r="K8" i="8" s="1"/>
  <c r="D10" i="8"/>
  <c r="D8" i="8" s="1"/>
  <c r="E10" i="8"/>
  <c r="E8" i="8" s="1"/>
  <c r="F10" i="8"/>
  <c r="F8" i="8" s="1"/>
  <c r="G10" i="8"/>
  <c r="G8" i="8" s="1"/>
  <c r="I10" i="8"/>
  <c r="I8" i="8" s="1"/>
  <c r="J10" i="8"/>
  <c r="J8" i="8" s="1"/>
  <c r="H10" i="8" l="1"/>
  <c r="H8" i="8" s="1"/>
  <c r="K9" i="8"/>
  <c r="K11" i="8" s="1"/>
  <c r="G9" i="8"/>
  <c r="G11" i="8" s="1"/>
  <c r="J9" i="8"/>
  <c r="J11" i="8" s="1"/>
  <c r="G26" i="8" s="1"/>
  <c r="F9" i="8"/>
  <c r="F11" i="8" s="1"/>
  <c r="I9" i="8"/>
  <c r="I11" i="8" s="1"/>
  <c r="F26" i="8" s="1"/>
  <c r="E9" i="8"/>
  <c r="E11" i="8" s="1"/>
  <c r="D9" i="8"/>
  <c r="D26" i="8" l="1"/>
  <c r="I24" i="8"/>
  <c r="H26" i="8"/>
  <c r="H24" i="8"/>
  <c r="G24" i="8" s="1"/>
  <c r="F24" i="8" s="1"/>
  <c r="E24" i="8" s="1"/>
  <c r="D24" i="8" s="1"/>
  <c r="D11" i="8"/>
  <c r="H9" i="8"/>
  <c r="H11" i="8" s="1"/>
  <c r="E26" i="8" s="1"/>
  <c r="D18" i="7"/>
  <c r="E18" i="7"/>
  <c r="F18" i="7"/>
  <c r="G18" i="7"/>
  <c r="C18" i="7"/>
  <c r="G7" i="6"/>
  <c r="F7" i="6"/>
  <c r="G10" i="6"/>
  <c r="H10" i="6"/>
  <c r="E9" i="6"/>
  <c r="F9" i="6"/>
  <c r="G9" i="6"/>
  <c r="H9" i="6"/>
  <c r="I9" i="6"/>
  <c r="J9" i="6"/>
  <c r="D9" i="6"/>
  <c r="D8" i="6"/>
  <c r="E8" i="6"/>
  <c r="E7" i="6"/>
  <c r="D7" i="6"/>
  <c r="E10" i="6"/>
  <c r="D10" i="6"/>
  <c r="E11" i="6"/>
  <c r="D11" i="6"/>
  <c r="D12" i="6"/>
  <c r="E6" i="6" s="1"/>
  <c r="C12" i="6"/>
  <c r="D6" i="6" s="1"/>
  <c r="E13" i="4"/>
  <c r="F13" i="4"/>
  <c r="D13" i="4"/>
  <c r="E9" i="4" s="1"/>
  <c r="G10" i="4"/>
  <c r="F10" i="4"/>
  <c r="E10" i="4"/>
  <c r="G9" i="4"/>
  <c r="D21" i="4"/>
  <c r="N22" i="4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E12" i="6"/>
  <c r="G14" i="5"/>
  <c r="H14" i="5"/>
  <c r="I14" i="5"/>
  <c r="J14" i="5"/>
  <c r="F11" i="4"/>
  <c r="E11" i="4"/>
  <c r="D11" i="2"/>
  <c r="E11" i="2"/>
  <c r="C11" i="2"/>
  <c r="E8" i="4"/>
  <c r="F8" i="4" s="1"/>
  <c r="G8" i="4" s="1"/>
  <c r="H8" i="4" s="1"/>
  <c r="I8" i="4" s="1"/>
  <c r="J8" i="4" s="1"/>
  <c r="K8" i="4" s="1"/>
  <c r="I26" i="8" l="1"/>
  <c r="I10" i="6"/>
  <c r="J10" i="6" s="1"/>
  <c r="E12" i="4"/>
  <c r="D24" i="4"/>
  <c r="F11" i="2" s="1"/>
  <c r="C5" i="7" s="1"/>
  <c r="D19" i="4"/>
  <c r="D23" i="4" s="1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E21" i="4"/>
  <c r="F9" i="4"/>
  <c r="F12" i="4" s="1"/>
  <c r="D25" i="4" l="1"/>
  <c r="G12" i="4" s="1"/>
  <c r="G13" i="4" s="1"/>
  <c r="F21" i="4"/>
  <c r="F13" i="5" l="1"/>
  <c r="C15" i="7"/>
  <c r="H10" i="4"/>
  <c r="D26" i="4"/>
  <c r="E24" i="4" s="1"/>
  <c r="G11" i="2" s="1"/>
  <c r="D5" i="7" s="1"/>
  <c r="G21" i="4"/>
  <c r="H9" i="4"/>
  <c r="E25" i="4" l="1"/>
  <c r="H12" i="4" s="1"/>
  <c r="H21" i="4"/>
  <c r="E26" i="4"/>
  <c r="F24" i="4" s="1"/>
  <c r="H11" i="2" s="1"/>
  <c r="E5" i="7" s="1"/>
  <c r="I21" i="4" l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F25" i="4"/>
  <c r="I12" i="4" s="1"/>
  <c r="F26" i="4" l="1"/>
  <c r="G24" i="4" l="1"/>
  <c r="I11" i="2" s="1"/>
  <c r="F5" i="7" s="1"/>
  <c r="G25" i="4" l="1"/>
  <c r="J12" i="4" s="1"/>
  <c r="G26" i="4" l="1"/>
  <c r="H24" i="4" s="1"/>
  <c r="H25" i="4" s="1"/>
  <c r="K12" i="4" s="1"/>
  <c r="J11" i="2" l="1"/>
  <c r="G5" i="7" s="1"/>
  <c r="H26" i="4"/>
  <c r="I24" i="4" s="1"/>
  <c r="I25" i="4" l="1"/>
  <c r="I26" i="4" s="1"/>
  <c r="J24" i="4" s="1"/>
  <c r="J25" i="4" l="1"/>
  <c r="J26" i="4" s="1"/>
  <c r="K24" i="4" s="1"/>
  <c r="K25" i="4" l="1"/>
  <c r="K26" i="4" s="1"/>
  <c r="L24" i="4" s="1"/>
  <c r="L25" i="4" l="1"/>
  <c r="L26" i="4" s="1"/>
  <c r="M24" i="4" s="1"/>
  <c r="M25" i="4" l="1"/>
  <c r="M26" i="4" s="1"/>
  <c r="N24" i="4" l="1"/>
  <c r="N25" i="4" s="1"/>
  <c r="N26" i="4" s="1"/>
  <c r="O24" i="4" s="1"/>
  <c r="O25" i="4" s="1"/>
  <c r="O26" i="4" s="1"/>
  <c r="P24" i="4" s="1"/>
  <c r="D12" i="5"/>
  <c r="E12" i="5"/>
  <c r="F12" i="5" s="1"/>
  <c r="G12" i="5" s="1"/>
  <c r="H12" i="5" s="1"/>
  <c r="I12" i="5" s="1"/>
  <c r="J12" i="5" s="1"/>
  <c r="C12" i="5"/>
  <c r="N11" i="5" s="1"/>
  <c r="G84" i="1"/>
  <c r="D13" i="5"/>
  <c r="E13" i="5"/>
  <c r="C13" i="5"/>
  <c r="D14" i="5"/>
  <c r="E14" i="5"/>
  <c r="C14" i="5"/>
  <c r="E6" i="3"/>
  <c r="D6" i="3"/>
  <c r="D7" i="3"/>
  <c r="E7" i="3"/>
  <c r="C7" i="3"/>
  <c r="C6" i="5" s="1"/>
  <c r="G17" i="2"/>
  <c r="H17" i="2"/>
  <c r="I17" i="2"/>
  <c r="J17" i="2"/>
  <c r="D9" i="2"/>
  <c r="D7" i="2" s="1"/>
  <c r="E9" i="2"/>
  <c r="E7" i="2" s="1"/>
  <c r="C9" i="2"/>
  <c r="C7" i="2" s="1"/>
  <c r="D9" i="5"/>
  <c r="E9" i="5"/>
  <c r="D7" i="5"/>
  <c r="E7" i="5"/>
  <c r="F7" i="5" s="1"/>
  <c r="G7" i="5" s="1"/>
  <c r="H7" i="5" s="1"/>
  <c r="I7" i="5" s="1"/>
  <c r="J7" i="5" s="1"/>
  <c r="C7" i="5"/>
  <c r="C9" i="5"/>
  <c r="E3" i="7"/>
  <c r="F3" i="7"/>
  <c r="G3" i="7" s="1"/>
  <c r="G17" i="7"/>
  <c r="F17" i="7"/>
  <c r="E17" i="7"/>
  <c r="D17" i="7"/>
  <c r="C17" i="7"/>
  <c r="C5" i="2"/>
  <c r="G14" i="6"/>
  <c r="H14" i="6" s="1"/>
  <c r="I14" i="6" s="1"/>
  <c r="J14" i="6" s="1"/>
  <c r="F6" i="6"/>
  <c r="D15" i="5"/>
  <c r="E15" i="5"/>
  <c r="C15" i="5"/>
  <c r="D11" i="5"/>
  <c r="E11" i="5"/>
  <c r="C11" i="5"/>
  <c r="D8" i="5"/>
  <c r="E8" i="5"/>
  <c r="C8" i="5"/>
  <c r="D5" i="5"/>
  <c r="E5" i="5"/>
  <c r="C5" i="5"/>
  <c r="D4" i="5"/>
  <c r="E4" i="5"/>
  <c r="C4" i="5"/>
  <c r="D6" i="5"/>
  <c r="B96" i="1"/>
  <c r="P25" i="4" l="1"/>
  <c r="P26" i="4" s="1"/>
  <c r="Q24" i="4" s="1"/>
  <c r="C20" i="5"/>
  <c r="C19" i="5"/>
  <c r="E6" i="5"/>
  <c r="E10" i="5" s="1"/>
  <c r="C10" i="5"/>
  <c r="C16" i="5"/>
  <c r="D10" i="5"/>
  <c r="D16" i="5"/>
  <c r="E16" i="5"/>
  <c r="Q25" i="4" l="1"/>
  <c r="Q26" i="4" s="1"/>
  <c r="R24" i="4" s="1"/>
  <c r="E24" i="5"/>
  <c r="C24" i="5"/>
  <c r="D24" i="5"/>
  <c r="R25" i="4" l="1"/>
  <c r="R26" i="4" s="1"/>
  <c r="S24" i="4" s="1"/>
  <c r="E5" i="3"/>
  <c r="D5" i="3"/>
  <c r="E4" i="3"/>
  <c r="D4" i="3"/>
  <c r="S25" i="4" l="1"/>
  <c r="S26" i="4" s="1"/>
  <c r="T24" i="4" s="1"/>
  <c r="E10" i="3"/>
  <c r="D10" i="3"/>
  <c r="F4" i="3"/>
  <c r="E9" i="3"/>
  <c r="D9" i="3"/>
  <c r="T25" i="4" l="1"/>
  <c r="T26" i="4" s="1"/>
  <c r="U24" i="4" s="1"/>
  <c r="F10" i="3"/>
  <c r="G10" i="3" s="1"/>
  <c r="H10" i="3" s="1"/>
  <c r="I10" i="3" s="1"/>
  <c r="J10" i="3" s="1"/>
  <c r="F9" i="3"/>
  <c r="G9" i="3" s="1"/>
  <c r="H9" i="3" s="1"/>
  <c r="I9" i="3" s="1"/>
  <c r="J9" i="3" s="1"/>
  <c r="F3" i="2"/>
  <c r="G3" i="2" s="1"/>
  <c r="H3" i="2" s="1"/>
  <c r="I3" i="2" s="1"/>
  <c r="J3" i="2" s="1"/>
  <c r="E5" i="2"/>
  <c r="D5" i="2"/>
  <c r="D4" i="2"/>
  <c r="E4" i="2"/>
  <c r="C4" i="2"/>
  <c r="U25" i="4" l="1"/>
  <c r="U26" i="4" s="1"/>
  <c r="V24" i="4" s="1"/>
  <c r="D20" i="5"/>
  <c r="D19" i="5"/>
  <c r="C22" i="5"/>
  <c r="C21" i="5"/>
  <c r="C18" i="5"/>
  <c r="E20" i="5"/>
  <c r="E19" i="5"/>
  <c r="E21" i="5"/>
  <c r="E18" i="5"/>
  <c r="E22" i="5"/>
  <c r="D22" i="5"/>
  <c r="D21" i="5"/>
  <c r="D18" i="5"/>
  <c r="C6" i="2"/>
  <c r="C8" i="2" s="1"/>
  <c r="C10" i="2" s="1"/>
  <c r="C12" i="2" s="1"/>
  <c r="D17" i="2"/>
  <c r="E17" i="2"/>
  <c r="E6" i="2"/>
  <c r="D6" i="2"/>
  <c r="D8" i="2" s="1"/>
  <c r="E21" i="2"/>
  <c r="C19" i="2"/>
  <c r="F19" i="2" s="1"/>
  <c r="G19" i="2" s="1"/>
  <c r="H19" i="2" s="1"/>
  <c r="I19" i="2" s="1"/>
  <c r="J19" i="2" s="1"/>
  <c r="D19" i="2"/>
  <c r="C21" i="2"/>
  <c r="E19" i="2"/>
  <c r="D21" i="2"/>
  <c r="V25" i="4" l="1"/>
  <c r="V26" i="4" s="1"/>
  <c r="W24" i="4" s="1"/>
  <c r="F17" i="2"/>
  <c r="F21" i="2"/>
  <c r="G21" i="2" s="1"/>
  <c r="H21" i="2" s="1"/>
  <c r="I21" i="2" s="1"/>
  <c r="J21" i="2" s="1"/>
  <c r="H21" i="5"/>
  <c r="G21" i="5"/>
  <c r="I21" i="5"/>
  <c r="F21" i="5"/>
  <c r="J21" i="5"/>
  <c r="F22" i="5"/>
  <c r="H22" i="5"/>
  <c r="G22" i="5"/>
  <c r="I22" i="5"/>
  <c r="J22" i="5"/>
  <c r="C13" i="2"/>
  <c r="C14" i="2" s="1"/>
  <c r="H19" i="5"/>
  <c r="J19" i="5"/>
  <c r="F19" i="5"/>
  <c r="G19" i="5"/>
  <c r="I19" i="5"/>
  <c r="G18" i="5"/>
  <c r="I18" i="5"/>
  <c r="J18" i="5"/>
  <c r="F18" i="5"/>
  <c r="H18" i="5"/>
  <c r="G20" i="5"/>
  <c r="I20" i="5"/>
  <c r="H20" i="5"/>
  <c r="J20" i="5"/>
  <c r="F20" i="5"/>
  <c r="F4" i="2"/>
  <c r="G4" i="2" s="1"/>
  <c r="H4" i="2" s="1"/>
  <c r="E8" i="2"/>
  <c r="D10" i="2"/>
  <c r="W25" i="4" l="1"/>
  <c r="W26" i="4" s="1"/>
  <c r="X24" i="4" s="1"/>
  <c r="F9" i="5"/>
  <c r="C10" i="7" s="1"/>
  <c r="H4" i="5"/>
  <c r="G4" i="5"/>
  <c r="F14" i="5"/>
  <c r="C11" i="7" s="1"/>
  <c r="G9" i="5"/>
  <c r="D10" i="7" s="1"/>
  <c r="G7" i="2"/>
  <c r="F7" i="2"/>
  <c r="F4" i="5"/>
  <c r="C7" i="7" s="1"/>
  <c r="H9" i="5"/>
  <c r="H7" i="2"/>
  <c r="F5" i="2"/>
  <c r="F6" i="2" s="1"/>
  <c r="G5" i="2"/>
  <c r="G6" i="2" s="1"/>
  <c r="E10" i="2"/>
  <c r="D12" i="2"/>
  <c r="D13" i="2" s="1"/>
  <c r="H5" i="2"/>
  <c r="H6" i="2" s="1"/>
  <c r="I4" i="2"/>
  <c r="X25" i="4" l="1"/>
  <c r="X26" i="4" s="1"/>
  <c r="Y24" i="4" s="1"/>
  <c r="F11" i="7"/>
  <c r="H5" i="5"/>
  <c r="D11" i="7"/>
  <c r="F11" i="5"/>
  <c r="C9" i="7" s="1"/>
  <c r="I9" i="5"/>
  <c r="F10" i="7" s="1"/>
  <c r="I4" i="5"/>
  <c r="F7" i="7" s="1"/>
  <c r="E10" i="7"/>
  <c r="G11" i="5"/>
  <c r="D9" i="7" s="1"/>
  <c r="G5" i="5"/>
  <c r="E8" i="7" s="1"/>
  <c r="D7" i="7"/>
  <c r="E11" i="7"/>
  <c r="F8" i="2"/>
  <c r="C4" i="7" s="1"/>
  <c r="H11" i="5"/>
  <c r="E7" i="7"/>
  <c r="F5" i="5"/>
  <c r="C8" i="7" s="1"/>
  <c r="I7" i="2"/>
  <c r="H8" i="2"/>
  <c r="E4" i="7" s="1"/>
  <c r="G8" i="2"/>
  <c r="D4" i="7" s="1"/>
  <c r="J4" i="2"/>
  <c r="I5" i="2"/>
  <c r="D14" i="2"/>
  <c r="E12" i="2"/>
  <c r="E13" i="2" s="1"/>
  <c r="Y25" i="4" l="1"/>
  <c r="Y26" i="4" s="1"/>
  <c r="Z24" i="4" s="1"/>
  <c r="E9" i="7"/>
  <c r="J4" i="5"/>
  <c r="G7" i="7" s="1"/>
  <c r="J9" i="5"/>
  <c r="G10" i="7" s="1"/>
  <c r="G11" i="7"/>
  <c r="D8" i="7"/>
  <c r="I6" i="2"/>
  <c r="I8" i="2" s="1"/>
  <c r="F4" i="7" s="1"/>
  <c r="I11" i="5"/>
  <c r="F9" i="7" s="1"/>
  <c r="I5" i="5"/>
  <c r="F8" i="7" s="1"/>
  <c r="J7" i="2"/>
  <c r="E14" i="2"/>
  <c r="J5" i="2"/>
  <c r="Z25" i="4" l="1"/>
  <c r="Z26" i="4" s="1"/>
  <c r="AA24" i="4" s="1"/>
  <c r="J6" i="2"/>
  <c r="J8" i="2" s="1"/>
  <c r="G4" i="7" s="1"/>
  <c r="J5" i="5"/>
  <c r="G8" i="7" s="1"/>
  <c r="J11" i="5"/>
  <c r="G9" i="7" s="1"/>
  <c r="AA25" i="4" l="1"/>
  <c r="AA26" i="4" s="1"/>
  <c r="AB24" i="4" s="1"/>
  <c r="F5" i="3"/>
  <c r="F6" i="3"/>
  <c r="AB25" i="4" l="1"/>
  <c r="AB26" i="4" s="1"/>
  <c r="J6" i="3"/>
  <c r="G12" i="7" s="1"/>
  <c r="C12" i="7"/>
  <c r="F9" i="2"/>
  <c r="F10" i="2" s="1"/>
  <c r="F12" i="2" s="1"/>
  <c r="F13" i="2" s="1"/>
  <c r="G6" i="3"/>
  <c r="D12" i="7" s="1"/>
  <c r="F7" i="3"/>
  <c r="G4" i="3" s="1"/>
  <c r="G5" i="3" s="1"/>
  <c r="H6" i="3"/>
  <c r="E12" i="7" s="1"/>
  <c r="I6" i="3"/>
  <c r="F12" i="7" s="1"/>
  <c r="F14" i="2" l="1"/>
  <c r="F11" i="6" s="1"/>
  <c r="C6" i="7"/>
  <c r="C13" i="7" s="1"/>
  <c r="G9" i="2"/>
  <c r="G10" i="2" s="1"/>
  <c r="G12" i="2" s="1"/>
  <c r="G13" i="2" s="1"/>
  <c r="F6" i="5"/>
  <c r="G7" i="3"/>
  <c r="F12" i="6" l="1"/>
  <c r="C14" i="7"/>
  <c r="G14" i="2"/>
  <c r="G11" i="6" s="1"/>
  <c r="D14" i="7" s="1"/>
  <c r="D6" i="7"/>
  <c r="D13" i="7" s="1"/>
  <c r="H4" i="3"/>
  <c r="H5" i="3" s="1"/>
  <c r="H9" i="2" s="1"/>
  <c r="G6" i="5"/>
  <c r="F15" i="5" l="1"/>
  <c r="F16" i="5" s="1"/>
  <c r="H18" i="6"/>
  <c r="C19" i="7"/>
  <c r="F8" i="5" s="1"/>
  <c r="G6" i="6"/>
  <c r="G12" i="6" s="1"/>
  <c r="G15" i="5" s="1"/>
  <c r="H7" i="3"/>
  <c r="H10" i="2"/>
  <c r="H12" i="2" s="1"/>
  <c r="F10" i="5" l="1"/>
  <c r="F24" i="5" s="1"/>
  <c r="H6" i="6"/>
  <c r="H13" i="2"/>
  <c r="I4" i="3"/>
  <c r="I5" i="3" s="1"/>
  <c r="I9" i="2" s="1"/>
  <c r="H6" i="5"/>
  <c r="H14" i="2" l="1"/>
  <c r="H11" i="6" s="1"/>
  <c r="E6" i="7"/>
  <c r="E13" i="7" s="1"/>
  <c r="I7" i="3"/>
  <c r="I10" i="2"/>
  <c r="I12" i="2" s="1"/>
  <c r="I13" i="2" s="1"/>
  <c r="H12" i="6" l="1"/>
  <c r="H15" i="5" s="1"/>
  <c r="E14" i="7"/>
  <c r="I14" i="2"/>
  <c r="I11" i="6" s="1"/>
  <c r="F14" i="7" s="1"/>
  <c r="F6" i="7"/>
  <c r="F13" i="7" s="1"/>
  <c r="J4" i="3"/>
  <c r="I6" i="5"/>
  <c r="I6" i="6" l="1"/>
  <c r="I12" i="6" s="1"/>
  <c r="J6" i="6" s="1"/>
  <c r="J5" i="3"/>
  <c r="I15" i="5" l="1"/>
  <c r="J9" i="2"/>
  <c r="J10" i="2" s="1"/>
  <c r="J12" i="2" s="1"/>
  <c r="J13" i="2" s="1"/>
  <c r="J7" i="3"/>
  <c r="J6" i="5" s="1"/>
  <c r="J14" i="2" l="1"/>
  <c r="G6" i="7"/>
  <c r="G13" i="7" s="1"/>
  <c r="J11" i="6" l="1"/>
  <c r="J12" i="6" l="1"/>
  <c r="J15" i="5" s="1"/>
  <c r="G14" i="7"/>
  <c r="H13" i="4"/>
  <c r="G13" i="5" l="1"/>
  <c r="G16" i="5" s="1"/>
  <c r="D15" i="7"/>
  <c r="I10" i="4"/>
  <c r="D19" i="7"/>
  <c r="G8" i="5" s="1"/>
  <c r="I9" i="4"/>
  <c r="I13" i="4" l="1"/>
  <c r="J10" i="4"/>
  <c r="H13" i="5"/>
  <c r="H16" i="5" s="1"/>
  <c r="E15" i="7"/>
  <c r="E19" i="7" s="1"/>
  <c r="H8" i="5" s="1"/>
  <c r="J9" i="4"/>
  <c r="G10" i="5"/>
  <c r="G24" i="5" s="1"/>
  <c r="J13" i="4" l="1"/>
  <c r="K10" i="4"/>
  <c r="I13" i="5"/>
  <c r="F15" i="7"/>
  <c r="F19" i="7" s="1"/>
  <c r="I8" i="5" s="1"/>
  <c r="H10" i="5"/>
  <c r="H24" i="5" s="1"/>
  <c r="K9" i="4"/>
  <c r="K13" i="4" s="1"/>
  <c r="I16" i="5"/>
  <c r="G15" i="7" l="1"/>
  <c r="J13" i="5"/>
  <c r="I10" i="5"/>
  <c r="I24" i="5" s="1"/>
  <c r="J16" i="5"/>
  <c r="G19" i="7"/>
  <c r="J8" i="5" s="1"/>
  <c r="J10" i="5" s="1"/>
  <c r="J24" i="5" l="1"/>
</calcChain>
</file>

<file path=xl/sharedStrings.xml><?xml version="1.0" encoding="utf-8"?>
<sst xmlns="http://schemas.openxmlformats.org/spreadsheetml/2006/main" count="219" uniqueCount="190">
  <si>
    <t>Particulars</t>
  </si>
  <si>
    <t>2024</t>
  </si>
  <si>
    <t>2023</t>
  </si>
  <si>
    <t>2022</t>
  </si>
  <si>
    <t>Products Revenue</t>
  </si>
  <si>
    <t>Services Revenue</t>
  </si>
  <si>
    <t>Net Revenues</t>
  </si>
  <si>
    <t>Cost of Products Sold</t>
  </si>
  <si>
    <t>Cost of Services Sold</t>
  </si>
  <si>
    <t>Selling and Administrative Expenses</t>
  </si>
  <si>
    <t>Operating Income</t>
  </si>
  <si>
    <t>Interest Expense</t>
  </si>
  <si>
    <t>Other Income/(Expense), net</t>
  </si>
  <si>
    <t>Earnings Before Income Taxes</t>
  </si>
  <si>
    <t>Provision for Income Taxes</t>
  </si>
  <si>
    <t>Earnings from Continuing Operations</t>
  </si>
  <si>
    <t>Discontinued Operations, net of tax</t>
  </si>
  <si>
    <t>Net Earnings</t>
  </si>
  <si>
    <t>Net Earnings Attributable to Noncontrolling Interests</t>
  </si>
  <si>
    <t>Net Earnings Attributable to Trane Technologies plc</t>
  </si>
  <si>
    <t>Forecast</t>
  </si>
  <si>
    <t>$ in mln</t>
  </si>
  <si>
    <t>Revenue</t>
  </si>
  <si>
    <t>Cogs</t>
  </si>
  <si>
    <t>Gross Profit</t>
  </si>
  <si>
    <t>Operating expenses</t>
  </si>
  <si>
    <t>EBITDA</t>
  </si>
  <si>
    <t>D&amp;A</t>
  </si>
  <si>
    <t>EBIT</t>
  </si>
  <si>
    <t>Interest expenses</t>
  </si>
  <si>
    <t>EBT</t>
  </si>
  <si>
    <t>Taxes</t>
  </si>
  <si>
    <t>Net Income</t>
  </si>
  <si>
    <t>Revenue growth %</t>
  </si>
  <si>
    <t>Selected Case</t>
  </si>
  <si>
    <t>Cogs as a % of Revenues</t>
  </si>
  <si>
    <t>CASH FLOW STATEMENT</t>
  </si>
  <si>
    <t>Category</t>
  </si>
  <si>
    <t>Net earnings</t>
  </si>
  <si>
    <t>Discontinued operations, net of tax</t>
  </si>
  <si>
    <t>Depreciation and amortization</t>
  </si>
  <si>
    <t>Pension and other postretirement benefits</t>
  </si>
  <si>
    <t>Stock settled share-based compensation</t>
  </si>
  <si>
    <t>Other non-cash items, net</t>
  </si>
  <si>
    <t>Accounts and notes receivable</t>
  </si>
  <si>
    <t>Inventories</t>
  </si>
  <si>
    <t>Other current and noncurrent assets</t>
  </si>
  <si>
    <t>Accounts payable</t>
  </si>
  <si>
    <t>Other current and noncurrent liabilities</t>
  </si>
  <si>
    <t>Net cash provided by (used in) continuing operating activities</t>
  </si>
  <si>
    <t>Net cash provided by (used in) discontinued operating activities</t>
  </si>
  <si>
    <t>Net cash provided by (used in) operating activities</t>
  </si>
  <si>
    <t>Capital expenditures</t>
  </si>
  <si>
    <t>Acquisitions of businesses, net of cash acquired</t>
  </si>
  <si>
    <t>Proceeds from sale of property, plant and equipment</t>
  </si>
  <si>
    <t>Purchases of short-term investments</t>
  </si>
  <si>
    <t>Proceeds from short-term investments</t>
  </si>
  <si>
    <t>Other investing activities, net</t>
  </si>
  <si>
    <t>Net cash provided by (used in) continuing investing activities</t>
  </si>
  <si>
    <t>Net cash provided by (used in) discontinued investing activities</t>
  </si>
  <si>
    <t>Net cash provided by (used in) investing activities</t>
  </si>
  <si>
    <t>Short-term borrowings (payments), net</t>
  </si>
  <si>
    <t>Proceeds from long-term debt</t>
  </si>
  <si>
    <t>Payments of long-term debt</t>
  </si>
  <si>
    <t>Net proceeds from (payments of) debt</t>
  </si>
  <si>
    <t>Debt issuance costs</t>
  </si>
  <si>
    <t>Dividends paid to ordinary shareholders</t>
  </si>
  <si>
    <t>Dividends paid to noncontrolling interests</t>
  </si>
  <si>
    <t>Proceeds (payments) from shares issued under incentive plans, net</t>
  </si>
  <si>
    <t>Repurchase of ordinary shares</t>
  </si>
  <si>
    <t>Settlement related to special cash payment</t>
  </si>
  <si>
    <t>Other financing activities, net</t>
  </si>
  <si>
    <t>Net cash provided by (used in) financing activities</t>
  </si>
  <si>
    <t>Effect of exchange rate changes on cash and cash equivalents</t>
  </si>
  <si>
    <t>Net increase (decrease) in cash and cash equivalents</t>
  </si>
  <si>
    <t>Cash and cash equivalents – beginning of period</t>
  </si>
  <si>
    <t>Cash and cash equivalents – end of period</t>
  </si>
  <si>
    <t>Cash paid during the year for: Interest</t>
  </si>
  <si>
    <t>Cash paid during the year for: Income taxes, net of refunds</t>
  </si>
  <si>
    <t>Fixed Assets Rollforward</t>
  </si>
  <si>
    <t>D&amp;A as a % of Beginning PP&amp;E</t>
  </si>
  <si>
    <t>BALANCE SHEET</t>
  </si>
  <si>
    <t>2024 ($ millions)</t>
  </si>
  <si>
    <t>2023 ($ millions)</t>
  </si>
  <si>
    <t>Cash and cash equivalents</t>
  </si>
  <si>
    <t>Accounts and notes receivable, net</t>
  </si>
  <si>
    <t>Other current assets</t>
  </si>
  <si>
    <t>Total current assets</t>
  </si>
  <si>
    <t>Property, plant and equipment, net</t>
  </si>
  <si>
    <t>Goodwill</t>
  </si>
  <si>
    <t>Intangible assets, net</t>
  </si>
  <si>
    <t>Other noncurrent assets</t>
  </si>
  <si>
    <t>Total assets</t>
  </si>
  <si>
    <t>Accrued compensation and benefits</t>
  </si>
  <si>
    <t>Accrued expenses and other current liabilities</t>
  </si>
  <si>
    <t>Short-term borrowings and current maturities of long-term debt</t>
  </si>
  <si>
    <t>Total current liabilities</t>
  </si>
  <si>
    <t>Long-term debt</t>
  </si>
  <si>
    <t>Postemployment and other benefit liabilities</t>
  </si>
  <si>
    <t>Deferred and noncurrent income taxes</t>
  </si>
  <si>
    <t>Other noncurrent liabilities</t>
  </si>
  <si>
    <t>Total liabilities</t>
  </si>
  <si>
    <t>Ordinary shares, $1.00 par value</t>
  </si>
  <si>
    <t>Ordinary shares held in treasury, at cost</t>
  </si>
  <si>
    <t>Retained earnings</t>
  </si>
  <si>
    <t>Accumulated other comprehensive income (loss)</t>
  </si>
  <si>
    <t>Total shareholders' equity</t>
  </si>
  <si>
    <t>Noncontrolling interest</t>
  </si>
  <si>
    <t>Total equity</t>
  </si>
  <si>
    <t>Total liabilities and equity</t>
  </si>
  <si>
    <t>ASSETS</t>
  </si>
  <si>
    <t>CURRENT ASSETS:</t>
  </si>
  <si>
    <t>2022 ($ millions)</t>
  </si>
  <si>
    <t>Operating Expense as a % of Revenues</t>
  </si>
  <si>
    <t>Trade Receivables</t>
  </si>
  <si>
    <t>Inventory</t>
  </si>
  <si>
    <t>Cash</t>
  </si>
  <si>
    <t>Other assets</t>
  </si>
  <si>
    <t>Assets</t>
  </si>
  <si>
    <t>Trade Payables</t>
  </si>
  <si>
    <t>Provisions</t>
  </si>
  <si>
    <t>Financial Liabilities</t>
  </si>
  <si>
    <t>Equity</t>
  </si>
  <si>
    <t>Liabilities &amp; Equity</t>
  </si>
  <si>
    <t>DSO</t>
  </si>
  <si>
    <t>DIO</t>
  </si>
  <si>
    <t>DPO</t>
  </si>
  <si>
    <t>Check</t>
  </si>
  <si>
    <t>INCOME STATEMENT</t>
  </si>
  <si>
    <t>Equity Schedule</t>
  </si>
  <si>
    <t>Beginning Equity</t>
  </si>
  <si>
    <t>Dividends</t>
  </si>
  <si>
    <t>Ending Equity</t>
  </si>
  <si>
    <t>Dividends as a % of Net Income</t>
  </si>
  <si>
    <t>Cash Flow</t>
  </si>
  <si>
    <t>Change in Trade Receivables</t>
  </si>
  <si>
    <t>Change in Inventory</t>
  </si>
  <si>
    <t>Change in Trade Payables</t>
  </si>
  <si>
    <t>Change in Other assets</t>
  </si>
  <si>
    <t>Change in Other liabilities</t>
  </si>
  <si>
    <t>Operating Cash Flow</t>
  </si>
  <si>
    <t>Change in Financial Liabilities</t>
  </si>
  <si>
    <t>Change in Provisions</t>
  </si>
  <si>
    <t>Change in Equity</t>
  </si>
  <si>
    <t>Net Cash Flow</t>
  </si>
  <si>
    <t>$ in millions</t>
  </si>
  <si>
    <t>Other Assets %</t>
  </si>
  <si>
    <t>Other Liabilities %</t>
  </si>
  <si>
    <t>Ending Intangible Assets, PP&amp;E</t>
  </si>
  <si>
    <t xml:space="preserve">Beginning Intangible Assets, PP&amp;E </t>
  </si>
  <si>
    <t>Capex &amp; additions</t>
  </si>
  <si>
    <t>Capex &amp; additions as  % of Beginning PP&amp;E</t>
  </si>
  <si>
    <t xml:space="preserve">Intangible Assets, PP&amp;E </t>
  </si>
  <si>
    <t>Beginning Debt</t>
  </si>
  <si>
    <t>New debt</t>
  </si>
  <si>
    <t>Principal repayment</t>
  </si>
  <si>
    <t>Ending Debt</t>
  </si>
  <si>
    <t>Repay debt in 10 years</t>
  </si>
  <si>
    <t>Annual payment:</t>
  </si>
  <si>
    <t>Period</t>
  </si>
  <si>
    <t>Payment</t>
  </si>
  <si>
    <t>Interest</t>
  </si>
  <si>
    <t>Residual debt</t>
  </si>
  <si>
    <t>Interest rate after 2024</t>
  </si>
  <si>
    <t>Capex &amp; Addtions</t>
  </si>
  <si>
    <t>Change in Goodwills</t>
  </si>
  <si>
    <t>Interest Rate</t>
  </si>
  <si>
    <t>Short term Debt</t>
  </si>
  <si>
    <t>Short term Debt as 10% of long term debt</t>
  </si>
  <si>
    <t>Other Liabilities</t>
  </si>
  <si>
    <t>Shares Buybacks</t>
  </si>
  <si>
    <t>Shares Issued</t>
  </si>
  <si>
    <t>Accumulated other Comperihensive income</t>
  </si>
  <si>
    <t>Total Debt and Equity</t>
  </si>
  <si>
    <t>Weight of Equity</t>
  </si>
  <si>
    <t>Weight of Debt</t>
  </si>
  <si>
    <t>Debt</t>
  </si>
  <si>
    <t>DEBT-EQUITY</t>
  </si>
  <si>
    <t>Cost of Debt</t>
  </si>
  <si>
    <t>Market Return</t>
  </si>
  <si>
    <t>Risk Free Rate</t>
  </si>
  <si>
    <t>Beta</t>
  </si>
  <si>
    <t>Cost of Equity / CAPM</t>
  </si>
  <si>
    <t>WACC</t>
  </si>
  <si>
    <t>Cash Flows</t>
  </si>
  <si>
    <t>PV</t>
  </si>
  <si>
    <t>MUHAMMAD ZAIN</t>
  </si>
  <si>
    <t>1866-BS-BAF-22</t>
  </si>
  <si>
    <t>NAME:</t>
  </si>
  <si>
    <t>ROLL NO.: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</si>
</sst>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0.0%"/>
    <numFmt numFmtId="168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 tint="0.14999847407452621"/>
      <name val="Arial"/>
      <family val="2"/>
    </font>
    <font>
      <b/>
      <sz val="16"/>
      <color rgb="FF002060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2060"/>
      </bottom>
      <diagonal/>
    </border>
    <border>
      <left/>
      <right style="medium">
        <color indexed="64"/>
      </right>
      <top/>
      <bottom style="medium">
        <color rgb="FF002060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206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2060"/>
      </bottom>
      <diagonal/>
    </border>
    <border>
      <left/>
      <right/>
      <top style="medium">
        <color indexed="64"/>
      </top>
      <bottom style="medium">
        <color rgb="FF002060"/>
      </bottom>
      <diagonal/>
    </border>
    <border>
      <left/>
      <right style="medium">
        <color indexed="64"/>
      </right>
      <top style="medium">
        <color indexed="64"/>
      </top>
      <bottom style="medium">
        <color rgb="FF002060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206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3" borderId="0" applyNumberFormat="0" applyBorder="0" applyAlignment="0" applyProtection="0"/>
    <xf numFmtId="41" fontId="2" fillId="0" borderId="0" applyFont="0" applyFill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26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2" borderId="0" xfId="0" applyFont="1" applyFill="1"/>
    <xf numFmtId="0" fontId="5" fillId="2" borderId="2" xfId="0" applyFont="1" applyFill="1" applyBorder="1"/>
    <xf numFmtId="164" fontId="4" fillId="2" borderId="3" xfId="1" applyNumberFormat="1" applyFont="1" applyFill="1" applyBorder="1"/>
    <xf numFmtId="0" fontId="4" fillId="2" borderId="4" xfId="0" applyFont="1" applyFill="1" applyBorder="1"/>
    <xf numFmtId="164" fontId="4" fillId="2" borderId="4" xfId="1" applyNumberFormat="1" applyFont="1" applyFill="1" applyBorder="1"/>
    <xf numFmtId="0" fontId="7" fillId="0" borderId="0" xfId="0" applyFont="1"/>
    <xf numFmtId="15" fontId="5" fillId="2" borderId="2" xfId="0" applyNumberFormat="1" applyFont="1" applyFill="1" applyBorder="1"/>
    <xf numFmtId="0" fontId="6" fillId="0" borderId="0" xfId="0" applyFont="1"/>
    <xf numFmtId="0" fontId="0" fillId="0" borderId="0" xfId="0" applyAlignment="1">
      <alignment vertical="center" wrapText="1"/>
    </xf>
    <xf numFmtId="4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9" fillId="2" borderId="0" xfId="0" applyFont="1" applyFill="1"/>
    <xf numFmtId="0" fontId="3" fillId="2" borderId="0" xfId="0" applyFont="1" applyFill="1" applyBorder="1"/>
    <xf numFmtId="0" fontId="0" fillId="0" borderId="0" xfId="0" applyBorder="1"/>
    <xf numFmtId="4" fontId="3" fillId="2" borderId="0" xfId="0" applyNumberFormat="1" applyFont="1" applyFill="1" applyBorder="1"/>
    <xf numFmtId="166" fontId="3" fillId="2" borderId="0" xfId="1" applyNumberFormat="1" applyFont="1" applyFill="1" applyBorder="1"/>
    <xf numFmtId="165" fontId="3" fillId="2" borderId="0" xfId="1" applyNumberFormat="1" applyFont="1" applyFill="1" applyBorder="1"/>
    <xf numFmtId="0" fontId="3" fillId="2" borderId="8" xfId="0" applyFont="1" applyFill="1" applyBorder="1"/>
    <xf numFmtId="0" fontId="5" fillId="2" borderId="10" xfId="0" applyFont="1" applyFill="1" applyBorder="1"/>
    <xf numFmtId="15" fontId="5" fillId="2" borderId="11" xfId="0" applyNumberFormat="1" applyFont="1" applyFill="1" applyBorder="1"/>
    <xf numFmtId="4" fontId="3" fillId="2" borderId="9" xfId="0" applyNumberFormat="1" applyFont="1" applyFill="1" applyBorder="1"/>
    <xf numFmtId="165" fontId="3" fillId="2" borderId="9" xfId="1" applyNumberFormat="1" applyFont="1" applyFill="1" applyBorder="1"/>
    <xf numFmtId="0" fontId="4" fillId="2" borderId="12" xfId="0" applyFont="1" applyFill="1" applyBorder="1"/>
    <xf numFmtId="0" fontId="3" fillId="2" borderId="9" xfId="0" applyFont="1" applyFill="1" applyBorder="1"/>
    <xf numFmtId="0" fontId="0" fillId="0" borderId="16" xfId="0" applyBorder="1"/>
    <xf numFmtId="0" fontId="3" fillId="2" borderId="17" xfId="0" applyFont="1" applyFill="1" applyBorder="1"/>
    <xf numFmtId="0" fontId="3" fillId="2" borderId="16" xfId="0" applyFont="1" applyFill="1" applyBorder="1"/>
    <xf numFmtId="0" fontId="0" fillId="0" borderId="0" xfId="0" applyBorder="1" applyAlignment="1"/>
    <xf numFmtId="164" fontId="3" fillId="2" borderId="0" xfId="1" applyNumberFormat="1" applyFont="1" applyFill="1" applyBorder="1"/>
    <xf numFmtId="0" fontId="4" fillId="2" borderId="19" xfId="0" applyFont="1" applyFill="1" applyBorder="1"/>
    <xf numFmtId="0" fontId="0" fillId="0" borderId="8" xfId="0" applyBorder="1"/>
    <xf numFmtId="9" fontId="0" fillId="0" borderId="0" xfId="2" applyFont="1" applyBorder="1"/>
    <xf numFmtId="0" fontId="1" fillId="0" borderId="14" xfId="0" applyFont="1" applyBorder="1"/>
    <xf numFmtId="0" fontId="0" fillId="2" borderId="0" xfId="0" applyFill="1"/>
    <xf numFmtId="168" fontId="3" fillId="2" borderId="0" xfId="0" applyNumberFormat="1" applyFont="1" applyFill="1"/>
    <xf numFmtId="166" fontId="4" fillId="2" borderId="4" xfId="1" applyNumberFormat="1" applyFont="1" applyFill="1" applyBorder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1" fillId="0" borderId="0" xfId="1" applyFont="1" applyAlignment="1">
      <alignment horizontal="right" vertical="center" wrapText="1"/>
    </xf>
    <xf numFmtId="43" fontId="1" fillId="0" borderId="0" xfId="1" applyFont="1" applyAlignment="1">
      <alignment horizontal="center" vertical="center" wrapText="1"/>
    </xf>
    <xf numFmtId="43" fontId="0" fillId="0" borderId="0" xfId="1" applyFont="1" applyAlignment="1">
      <alignment horizontal="right" vertical="center" wrapText="1"/>
    </xf>
    <xf numFmtId="43" fontId="0" fillId="0" borderId="0" xfId="1" applyFont="1" applyAlignment="1">
      <alignment vertical="center" wrapText="1"/>
    </xf>
    <xf numFmtId="43" fontId="1" fillId="0" borderId="0" xfId="1" applyFont="1" applyAlignment="1">
      <alignment vertical="center" wrapText="1"/>
    </xf>
    <xf numFmtId="43" fontId="1" fillId="0" borderId="0" xfId="1" applyFont="1"/>
    <xf numFmtId="0" fontId="5" fillId="2" borderId="23" xfId="0" applyFont="1" applyFill="1" applyBorder="1"/>
    <xf numFmtId="0" fontId="4" fillId="2" borderId="24" xfId="0" applyFont="1" applyFill="1" applyBorder="1"/>
    <xf numFmtId="165" fontId="4" fillId="2" borderId="15" xfId="0" applyNumberFormat="1" applyFont="1" applyFill="1" applyBorder="1"/>
    <xf numFmtId="165" fontId="4" fillId="2" borderId="25" xfId="0" applyNumberFormat="1" applyFont="1" applyFill="1" applyBorder="1"/>
    <xf numFmtId="41" fontId="3" fillId="2" borderId="0" xfId="4" applyFont="1" applyFill="1"/>
    <xf numFmtId="41" fontId="0" fillId="0" borderId="8" xfId="4" applyFont="1" applyBorder="1"/>
    <xf numFmtId="41" fontId="0" fillId="0" borderId="0" xfId="4" applyFont="1" applyBorder="1"/>
    <xf numFmtId="41" fontId="0" fillId="0" borderId="9" xfId="4" applyFont="1" applyBorder="1"/>
    <xf numFmtId="41" fontId="0" fillId="0" borderId="14" xfId="4" applyFont="1" applyBorder="1"/>
    <xf numFmtId="41" fontId="0" fillId="0" borderId="15" xfId="4" applyFont="1" applyBorder="1"/>
    <xf numFmtId="41" fontId="0" fillId="0" borderId="25" xfId="4" applyFont="1" applyBorder="1"/>
    <xf numFmtId="15" fontId="5" fillId="2" borderId="5" xfId="0" applyNumberFormat="1" applyFont="1" applyFill="1" applyBorder="1"/>
    <xf numFmtId="0" fontId="11" fillId="3" borderId="20" xfId="3" applyFont="1" applyBorder="1"/>
    <xf numFmtId="0" fontId="11" fillId="3" borderId="21" xfId="3" applyFont="1" applyBorder="1"/>
    <xf numFmtId="0" fontId="11" fillId="3" borderId="22" xfId="3" applyFont="1" applyBorder="1"/>
    <xf numFmtId="41" fontId="0" fillId="0" borderId="5" xfId="4" applyFont="1" applyBorder="1"/>
    <xf numFmtId="41" fontId="0" fillId="0" borderId="22" xfId="4" applyFont="1" applyBorder="1"/>
    <xf numFmtId="41" fontId="1" fillId="0" borderId="20" xfId="4" applyFont="1" applyBorder="1"/>
    <xf numFmtId="0" fontId="1" fillId="4" borderId="22" xfId="5" applyFont="1" applyBorder="1"/>
    <xf numFmtId="41" fontId="0" fillId="0" borderId="26" xfId="4" applyFont="1" applyBorder="1"/>
    <xf numFmtId="41" fontId="0" fillId="0" borderId="16" xfId="4" applyFont="1" applyBorder="1"/>
    <xf numFmtId="41" fontId="1" fillId="0" borderId="16" xfId="4" applyFont="1" applyBorder="1"/>
    <xf numFmtId="41" fontId="0" fillId="0" borderId="7" xfId="4" applyFont="1" applyBorder="1"/>
    <xf numFmtId="41" fontId="1" fillId="0" borderId="5" xfId="4" applyFont="1" applyBorder="1"/>
    <xf numFmtId="0" fontId="1" fillId="4" borderId="5" xfId="5" applyFont="1" applyBorder="1"/>
    <xf numFmtId="166" fontId="3" fillId="2" borderId="9" xfId="1" applyNumberFormat="1" applyFont="1" applyFill="1" applyBorder="1"/>
    <xf numFmtId="166" fontId="4" fillId="2" borderId="13" xfId="1" applyNumberFormat="1" applyFont="1" applyFill="1" applyBorder="1"/>
    <xf numFmtId="166" fontId="2" fillId="4" borderId="0" xfId="5" applyNumberFormat="1" applyBorder="1"/>
    <xf numFmtId="166" fontId="2" fillId="4" borderId="9" xfId="5" applyNumberFormat="1" applyBorder="1"/>
    <xf numFmtId="167" fontId="2" fillId="4" borderId="0" xfId="5" applyNumberFormat="1" applyBorder="1"/>
    <xf numFmtId="9" fontId="2" fillId="4" borderId="0" xfId="5" applyNumberFormat="1" applyBorder="1"/>
    <xf numFmtId="9" fontId="2" fillId="4" borderId="9" xfId="5" applyNumberFormat="1" applyBorder="1"/>
    <xf numFmtId="167" fontId="2" fillId="4" borderId="15" xfId="5" applyNumberFormat="1" applyBorder="1"/>
    <xf numFmtId="9" fontId="2" fillId="4" borderId="15" xfId="5" applyNumberFormat="1" applyBorder="1"/>
    <xf numFmtId="9" fontId="2" fillId="4" borderId="25" xfId="5" applyNumberFormat="1" applyBorder="1"/>
    <xf numFmtId="166" fontId="2" fillId="4" borderId="6" xfId="5" applyNumberFormat="1" applyBorder="1"/>
    <xf numFmtId="166" fontId="2" fillId="4" borderId="7" xfId="5" applyNumberFormat="1" applyBorder="1"/>
    <xf numFmtId="0" fontId="0" fillId="2" borderId="0" xfId="0" applyFill="1" applyBorder="1"/>
    <xf numFmtId="0" fontId="5" fillId="2" borderId="30" xfId="0" applyFont="1" applyFill="1" applyBorder="1"/>
    <xf numFmtId="0" fontId="14" fillId="3" borderId="5" xfId="3" applyFont="1" applyBorder="1"/>
    <xf numFmtId="0" fontId="2" fillId="3" borderId="20" xfId="3" applyBorder="1"/>
    <xf numFmtId="0" fontId="2" fillId="3" borderId="21" xfId="3" applyBorder="1"/>
    <xf numFmtId="0" fontId="2" fillId="3" borderId="22" xfId="3" applyBorder="1"/>
    <xf numFmtId="0" fontId="11" fillId="3" borderId="20" xfId="3" applyFont="1" applyBorder="1" applyAlignment="1">
      <alignment horizontal="center"/>
    </xf>
    <xf numFmtId="0" fontId="11" fillId="3" borderId="21" xfId="3" applyFont="1" applyBorder="1" applyAlignment="1">
      <alignment horizontal="center"/>
    </xf>
    <xf numFmtId="0" fontId="11" fillId="3" borderId="22" xfId="3" applyFont="1" applyBorder="1" applyAlignment="1">
      <alignment horizontal="center"/>
    </xf>
    <xf numFmtId="0" fontId="2" fillId="3" borderId="21" xfId="3" applyBorder="1" applyAlignment="1">
      <alignment horizontal="center"/>
    </xf>
    <xf numFmtId="0" fontId="2" fillId="3" borderId="22" xfId="3" applyBorder="1" applyAlignment="1">
      <alignment horizontal="center"/>
    </xf>
    <xf numFmtId="0" fontId="2" fillId="4" borderId="6" xfId="5" applyBorder="1"/>
    <xf numFmtId="167" fontId="2" fillId="4" borderId="6" xfId="5" applyNumberFormat="1" applyBorder="1"/>
    <xf numFmtId="167" fontId="2" fillId="4" borderId="7" xfId="5" applyNumberFormat="1" applyBorder="1"/>
    <xf numFmtId="0" fontId="2" fillId="4" borderId="15" xfId="5" applyBorder="1"/>
    <xf numFmtId="167" fontId="2" fillId="4" borderId="25" xfId="5" applyNumberFormat="1" applyBorder="1"/>
    <xf numFmtId="165" fontId="4" fillId="2" borderId="5" xfId="0" applyNumberFormat="1" applyFont="1" applyFill="1" applyBorder="1"/>
    <xf numFmtId="4" fontId="1" fillId="0" borderId="5" xfId="0" applyNumberFormat="1" applyFont="1" applyBorder="1" applyAlignment="1">
      <alignment vertical="center" wrapText="1"/>
    </xf>
    <xf numFmtId="0" fontId="13" fillId="5" borderId="5" xfId="6" applyFont="1" applyBorder="1"/>
    <xf numFmtId="0" fontId="2" fillId="3" borderId="6" xfId="3" applyBorder="1"/>
    <xf numFmtId="0" fontId="5" fillId="2" borderId="11" xfId="0" applyFont="1" applyFill="1" applyBorder="1"/>
    <xf numFmtId="164" fontId="3" fillId="2" borderId="9" xfId="1" applyNumberFormat="1" applyFont="1" applyFill="1" applyBorder="1"/>
    <xf numFmtId="164" fontId="4" fillId="2" borderId="31" xfId="1" applyNumberFormat="1" applyFont="1" applyFill="1" applyBorder="1"/>
    <xf numFmtId="164" fontId="4" fillId="2" borderId="13" xfId="1" applyNumberFormat="1" applyFont="1" applyFill="1" applyBorder="1"/>
    <xf numFmtId="0" fontId="1" fillId="0" borderId="20" xfId="0" applyFont="1" applyBorder="1"/>
    <xf numFmtId="0" fontId="0" fillId="0" borderId="20" xfId="0" applyBorder="1"/>
    <xf numFmtId="0" fontId="0" fillId="0" borderId="32" xfId="0" applyBorder="1"/>
    <xf numFmtId="0" fontId="0" fillId="0" borderId="6" xfId="0" applyBorder="1"/>
    <xf numFmtId="0" fontId="0" fillId="0" borderId="7" xfId="0" applyBorder="1"/>
    <xf numFmtId="9" fontId="0" fillId="0" borderId="8" xfId="2" applyFont="1" applyBorder="1"/>
    <xf numFmtId="9" fontId="0" fillId="0" borderId="9" xfId="2" applyFont="1" applyBorder="1"/>
    <xf numFmtId="0" fontId="2" fillId="3" borderId="32" xfId="3" applyBorder="1"/>
    <xf numFmtId="0" fontId="2" fillId="3" borderId="7" xfId="3" applyBorder="1"/>
    <xf numFmtId="164" fontId="3" fillId="2" borderId="33" xfId="1" applyNumberFormat="1" applyFont="1" applyFill="1" applyBorder="1"/>
    <xf numFmtId="164" fontId="3" fillId="2" borderId="34" xfId="1" applyNumberFormat="1" applyFont="1" applyFill="1" applyBorder="1"/>
    <xf numFmtId="0" fontId="5" fillId="2" borderId="28" xfId="0" applyFont="1" applyFill="1" applyBorder="1"/>
    <xf numFmtId="164" fontId="3" fillId="2" borderId="33" xfId="0" applyNumberFormat="1" applyFont="1" applyFill="1" applyBorder="1"/>
    <xf numFmtId="0" fontId="2" fillId="3" borderId="5" xfId="3" applyBorder="1"/>
    <xf numFmtId="0" fontId="6" fillId="3" borderId="21" xfId="3" applyFont="1" applyBorder="1"/>
    <xf numFmtId="0" fontId="6" fillId="3" borderId="22" xfId="3" applyFont="1" applyBorder="1"/>
    <xf numFmtId="0" fontId="6" fillId="3" borderId="20" xfId="3" applyFont="1" applyBorder="1"/>
    <xf numFmtId="0" fontId="12" fillId="2" borderId="0" xfId="0" applyFont="1" applyFill="1"/>
    <xf numFmtId="0" fontId="1" fillId="4" borderId="27" xfId="5" applyFont="1" applyBorder="1"/>
    <xf numFmtId="15" fontId="1" fillId="4" borderId="2" xfId="5" applyNumberFormat="1" applyFont="1" applyBorder="1"/>
    <xf numFmtId="15" fontId="1" fillId="4" borderId="28" xfId="5" applyNumberFormat="1" applyFont="1" applyBorder="1"/>
    <xf numFmtId="15" fontId="1" fillId="4" borderId="29" xfId="5" applyNumberFormat="1" applyFont="1" applyBorder="1"/>
    <xf numFmtId="43" fontId="0" fillId="0" borderId="0" xfId="0" applyNumberFormat="1"/>
    <xf numFmtId="0" fontId="1" fillId="4" borderId="18" xfId="5" applyFont="1" applyBorder="1"/>
    <xf numFmtId="0" fontId="1" fillId="4" borderId="26" xfId="5" applyFont="1" applyBorder="1"/>
    <xf numFmtId="0" fontId="1" fillId="2" borderId="17" xfId="0" applyFont="1" applyFill="1" applyBorder="1"/>
    <xf numFmtId="166" fontId="0" fillId="0" borderId="0" xfId="0" applyNumberFormat="1"/>
    <xf numFmtId="0" fontId="1" fillId="0" borderId="8" xfId="0" applyFont="1" applyBorder="1"/>
    <xf numFmtId="0" fontId="14" fillId="3" borderId="20" xfId="3" applyFont="1" applyBorder="1"/>
    <xf numFmtId="0" fontId="14" fillId="3" borderId="21" xfId="3" applyFont="1" applyBorder="1"/>
    <xf numFmtId="0" fontId="14" fillId="3" borderId="22" xfId="3" applyFont="1" applyBorder="1"/>
    <xf numFmtId="0" fontId="2" fillId="5" borderId="0" xfId="6" applyBorder="1"/>
    <xf numFmtId="0" fontId="2" fillId="5" borderId="7" xfId="6" applyBorder="1"/>
    <xf numFmtId="0" fontId="2" fillId="5" borderId="20" xfId="6" applyBorder="1"/>
    <xf numFmtId="0" fontId="2" fillId="5" borderId="21" xfId="6" applyBorder="1"/>
    <xf numFmtId="0" fontId="2" fillId="5" borderId="22" xfId="6" applyBorder="1"/>
    <xf numFmtId="9" fontId="2" fillId="5" borderId="8" xfId="6" applyNumberFormat="1" applyBorder="1"/>
    <xf numFmtId="9" fontId="2" fillId="5" borderId="0" xfId="6" applyNumberFormat="1" applyBorder="1"/>
    <xf numFmtId="9" fontId="2" fillId="5" borderId="9" xfId="6" applyNumberFormat="1" applyBorder="1"/>
    <xf numFmtId="9" fontId="2" fillId="5" borderId="14" xfId="6" applyNumberFormat="1" applyBorder="1"/>
    <xf numFmtId="9" fontId="2" fillId="5" borderId="15" xfId="6" applyNumberFormat="1" applyBorder="1"/>
    <xf numFmtId="9" fontId="2" fillId="5" borderId="25" xfId="6" applyNumberFormat="1" applyBorder="1"/>
    <xf numFmtId="43" fontId="2" fillId="4" borderId="32" xfId="5" applyNumberFormat="1" applyBorder="1"/>
    <xf numFmtId="9" fontId="2" fillId="4" borderId="5" xfId="5" applyNumberFormat="1" applyBorder="1"/>
    <xf numFmtId="43" fontId="2" fillId="4" borderId="8" xfId="5" applyNumberFormat="1" applyBorder="1"/>
    <xf numFmtId="43" fontId="2" fillId="4" borderId="5" xfId="5" applyNumberFormat="1" applyBorder="1"/>
    <xf numFmtId="43" fontId="2" fillId="4" borderId="14" xfId="5" applyNumberFormat="1" applyBorder="1"/>
    <xf numFmtId="43" fontId="0" fillId="0" borderId="0" xfId="0" applyNumberFormat="1" applyBorder="1"/>
    <xf numFmtId="43" fontId="0" fillId="0" borderId="9" xfId="0" applyNumberFormat="1" applyBorder="1"/>
    <xf numFmtId="43" fontId="2" fillId="4" borderId="0" xfId="5" applyNumberFormat="1" applyBorder="1"/>
    <xf numFmtId="43" fontId="2" fillId="4" borderId="0" xfId="1" applyFill="1" applyBorder="1"/>
    <xf numFmtId="43" fontId="2" fillId="4" borderId="15" xfId="1" applyFill="1" applyBorder="1"/>
    <xf numFmtId="43" fontId="0" fillId="0" borderId="0" xfId="1" applyFont="1" applyBorder="1"/>
    <xf numFmtId="43" fontId="0" fillId="0" borderId="9" xfId="1" applyFont="1" applyBorder="1"/>
    <xf numFmtId="43" fontId="0" fillId="0" borderId="8" xfId="1" applyFont="1" applyBorder="1"/>
    <xf numFmtId="43" fontId="0" fillId="0" borderId="32" xfId="1" applyFont="1" applyBorder="1"/>
    <xf numFmtId="43" fontId="0" fillId="0" borderId="7" xfId="1" applyFont="1" applyBorder="1"/>
    <xf numFmtId="0" fontId="3" fillId="6" borderId="0" xfId="0" applyFont="1" applyFill="1"/>
    <xf numFmtId="167" fontId="3" fillId="6" borderId="0" xfId="2" applyNumberFormat="1" applyFont="1" applyFill="1"/>
    <xf numFmtId="167" fontId="3" fillId="6" borderId="0" xfId="0" applyNumberFormat="1" applyFont="1" applyFill="1"/>
    <xf numFmtId="164" fontId="3" fillId="6" borderId="0" xfId="0" applyNumberFormat="1" applyFont="1" applyFill="1"/>
    <xf numFmtId="166" fontId="3" fillId="7" borderId="0" xfId="1" applyNumberFormat="1" applyFont="1" applyFill="1" applyBorder="1"/>
    <xf numFmtId="166" fontId="3" fillId="7" borderId="9" xfId="1" applyNumberFormat="1" applyFont="1" applyFill="1" applyBorder="1"/>
    <xf numFmtId="0" fontId="0" fillId="0" borderId="5" xfId="0" applyBorder="1"/>
    <xf numFmtId="0" fontId="1" fillId="6" borderId="14" xfId="3" applyFont="1" applyFill="1" applyBorder="1"/>
    <xf numFmtId="0" fontId="1" fillId="6" borderId="15" xfId="3" applyFont="1" applyFill="1" applyBorder="1"/>
    <xf numFmtId="0" fontId="0" fillId="6" borderId="15" xfId="0" applyFill="1" applyBorder="1"/>
    <xf numFmtId="43" fontId="2" fillId="8" borderId="5" xfId="5" applyNumberFormat="1" applyFill="1" applyBorder="1"/>
    <xf numFmtId="9" fontId="0" fillId="8" borderId="21" xfId="0" applyNumberFormat="1" applyFill="1" applyBorder="1"/>
    <xf numFmtId="0" fontId="2" fillId="4" borderId="5" xfId="5" applyBorder="1"/>
    <xf numFmtId="0" fontId="1" fillId="8" borderId="20" xfId="0" applyFont="1" applyFill="1" applyBorder="1"/>
    <xf numFmtId="43" fontId="0" fillId="8" borderId="21" xfId="0" applyNumberFormat="1" applyFill="1" applyBorder="1"/>
    <xf numFmtId="43" fontId="0" fillId="8" borderId="21" xfId="1" applyFont="1" applyFill="1" applyBorder="1"/>
    <xf numFmtId="43" fontId="0" fillId="8" borderId="22" xfId="1" applyFont="1" applyFill="1" applyBorder="1"/>
    <xf numFmtId="0" fontId="0" fillId="8" borderId="21" xfId="0" applyFill="1" applyBorder="1"/>
    <xf numFmtId="9" fontId="0" fillId="8" borderId="5" xfId="0" applyNumberFormat="1" applyFill="1" applyBorder="1"/>
    <xf numFmtId="166" fontId="3" fillId="8" borderId="0" xfId="1" applyNumberFormat="1" applyFont="1" applyFill="1" applyBorder="1"/>
    <xf numFmtId="43" fontId="4" fillId="2" borderId="4" xfId="0" applyNumberFormat="1" applyFont="1" applyFill="1" applyBorder="1"/>
    <xf numFmtId="0" fontId="10" fillId="6" borderId="5" xfId="0" applyFont="1" applyFill="1" applyBorder="1"/>
    <xf numFmtId="0" fontId="0" fillId="0" borderId="0" xfId="0"/>
    <xf numFmtId="0" fontId="3" fillId="2" borderId="0" xfId="0" applyFont="1" applyFill="1"/>
    <xf numFmtId="0" fontId="0" fillId="0" borderId="0" xfId="0" applyBorder="1"/>
    <xf numFmtId="0" fontId="3" fillId="2" borderId="8" xfId="0" applyFont="1" applyFill="1" applyBorder="1"/>
    <xf numFmtId="0" fontId="0" fillId="0" borderId="16" xfId="0" applyBorder="1"/>
    <xf numFmtId="43" fontId="0" fillId="0" borderId="0" xfId="1" applyFont="1"/>
    <xf numFmtId="41" fontId="0" fillId="0" borderId="8" xfId="4" applyFont="1" applyBorder="1"/>
    <xf numFmtId="41" fontId="0" fillId="0" borderId="0" xfId="4" applyFont="1" applyBorder="1"/>
    <xf numFmtId="41" fontId="0" fillId="0" borderId="9" xfId="4" applyFont="1" applyBorder="1"/>
    <xf numFmtId="41" fontId="0" fillId="0" borderId="16" xfId="4" applyFont="1" applyBorder="1"/>
    <xf numFmtId="43" fontId="0" fillId="0" borderId="8" xfId="1" applyFont="1" applyBorder="1"/>
    <xf numFmtId="165" fontId="0" fillId="0" borderId="0" xfId="0" applyNumberFormat="1" applyBorder="1"/>
    <xf numFmtId="41" fontId="0" fillId="8" borderId="5" xfId="4" applyFont="1" applyFill="1" applyBorder="1"/>
    <xf numFmtId="41" fontId="0" fillId="8" borderId="22" xfId="4" applyFont="1" applyFill="1" applyBorder="1"/>
    <xf numFmtId="0" fontId="0" fillId="0" borderId="9" xfId="0" applyBorder="1"/>
    <xf numFmtId="43" fontId="0" fillId="0" borderId="15" xfId="0" applyNumberFormat="1" applyBorder="1"/>
    <xf numFmtId="43" fontId="0" fillId="0" borderId="32" xfId="0" applyNumberFormat="1" applyBorder="1"/>
    <xf numFmtId="43" fontId="0" fillId="0" borderId="6" xfId="0" applyNumberFormat="1" applyBorder="1"/>
    <xf numFmtId="43" fontId="0" fillId="0" borderId="7" xfId="0" applyNumberFormat="1" applyBorder="1"/>
    <xf numFmtId="43" fontId="0" fillId="0" borderId="14" xfId="0" applyNumberFormat="1" applyBorder="1"/>
    <xf numFmtId="43" fontId="0" fillId="0" borderId="25" xfId="0" applyNumberFormat="1" applyBorder="1"/>
    <xf numFmtId="15" fontId="2" fillId="3" borderId="21" xfId="3" applyNumberFormat="1" applyBorder="1"/>
    <xf numFmtId="15" fontId="2" fillId="3" borderId="22" xfId="3" applyNumberFormat="1" applyBorder="1"/>
    <xf numFmtId="0" fontId="14" fillId="7" borderId="5" xfId="0" applyFont="1" applyFill="1" applyBorder="1"/>
    <xf numFmtId="0" fontId="1" fillId="0" borderId="16" xfId="0" applyFont="1" applyBorder="1"/>
    <xf numFmtId="0" fontId="1" fillId="0" borderId="18" xfId="0" applyFont="1" applyBorder="1"/>
    <xf numFmtId="0" fontId="1" fillId="0" borderId="5" xfId="0" applyFont="1" applyBorder="1"/>
    <xf numFmtId="10" fontId="0" fillId="7" borderId="0" xfId="2" applyNumberFormat="1" applyFont="1" applyFill="1" applyBorder="1"/>
    <xf numFmtId="10" fontId="0" fillId="7" borderId="9" xfId="2" applyNumberFormat="1" applyFont="1" applyFill="1" applyBorder="1"/>
    <xf numFmtId="43" fontId="0" fillId="0" borderId="20" xfId="1" applyFont="1" applyBorder="1"/>
    <xf numFmtId="43" fontId="0" fillId="0" borderId="21" xfId="1" applyFont="1" applyBorder="1"/>
    <xf numFmtId="43" fontId="0" fillId="0" borderId="22" xfId="1" applyFont="1" applyBorder="1"/>
    <xf numFmtId="9" fontId="0" fillId="7" borderId="7" xfId="0" applyNumberFormat="1" applyFill="1" applyBorder="1"/>
    <xf numFmtId="167" fontId="0" fillId="7" borderId="9" xfId="0" applyNumberFormat="1" applyFill="1" applyBorder="1"/>
    <xf numFmtId="9" fontId="0" fillId="7" borderId="9" xfId="0" applyNumberFormat="1" applyFill="1" applyBorder="1"/>
    <xf numFmtId="0" fontId="0" fillId="7" borderId="25" xfId="0" applyFill="1" applyBorder="1"/>
    <xf numFmtId="0" fontId="1" fillId="7" borderId="32" xfId="0" applyFont="1" applyFill="1" applyBorder="1"/>
    <xf numFmtId="0" fontId="1" fillId="7" borderId="8" xfId="0" applyFont="1" applyFill="1" applyBorder="1"/>
    <xf numFmtId="0" fontId="1" fillId="7" borderId="14" xfId="0" applyFont="1" applyFill="1" applyBorder="1"/>
    <xf numFmtId="10" fontId="0" fillId="6" borderId="6" xfId="2" applyNumberFormat="1" applyFont="1" applyFill="1" applyBorder="1"/>
    <xf numFmtId="10" fontId="0" fillId="6" borderId="7" xfId="2" applyNumberFormat="1" applyFont="1" applyFill="1" applyBorder="1"/>
    <xf numFmtId="9" fontId="0" fillId="8" borderId="15" xfId="2" applyFont="1" applyFill="1" applyBorder="1"/>
    <xf numFmtId="9" fontId="0" fillId="8" borderId="25" xfId="2" applyFont="1" applyFill="1" applyBorder="1"/>
    <xf numFmtId="0" fontId="11" fillId="2" borderId="18" xfId="0" applyFont="1" applyFill="1" applyBorder="1"/>
    <xf numFmtId="0" fontId="0" fillId="0" borderId="21" xfId="0" applyBorder="1"/>
    <xf numFmtId="0" fontId="11" fillId="0" borderId="20" xfId="0" applyFont="1" applyBorder="1"/>
    <xf numFmtId="0" fontId="0" fillId="8" borderId="22" xfId="0" applyFill="1" applyBorder="1"/>
    <xf numFmtId="0" fontId="0" fillId="8" borderId="20" xfId="0" applyFill="1" applyBorder="1"/>
    <xf numFmtId="41" fontId="0" fillId="0" borderId="20" xfId="0" applyNumberFormat="1" applyBorder="1"/>
    <xf numFmtId="41" fontId="0" fillId="0" borderId="21" xfId="0" applyNumberFormat="1" applyBorder="1"/>
    <xf numFmtId="41" fontId="0" fillId="0" borderId="22" xfId="0" applyNumberFormat="1" applyBorder="1"/>
    <xf numFmtId="8" fontId="0" fillId="0" borderId="0" xfId="0" applyNumberFormat="1"/>
    <xf numFmtId="0" fontId="11" fillId="8" borderId="5" xfId="0" applyFont="1" applyFill="1" applyBorder="1"/>
    <xf numFmtId="8" fontId="0" fillId="8" borderId="21" xfId="0" applyNumberFormat="1" applyFill="1" applyBorder="1"/>
    <xf numFmtId="8" fontId="0" fillId="8" borderId="22" xfId="0" applyNumberFormat="1" applyFill="1" applyBorder="1"/>
    <xf numFmtId="41" fontId="0" fillId="6" borderId="26" xfId="0" applyNumberFormat="1" applyFill="1" applyBorder="1"/>
    <xf numFmtId="43" fontId="0" fillId="6" borderId="5" xfId="0" applyNumberFormat="1" applyFill="1" applyBorder="1"/>
    <xf numFmtId="8" fontId="0" fillId="6" borderId="20" xfId="0" applyNumberFormat="1" applyFill="1" applyBorder="1"/>
    <xf numFmtId="8" fontId="0" fillId="6" borderId="21" xfId="0" applyNumberFormat="1" applyFill="1" applyBorder="1"/>
    <xf numFmtId="8" fontId="0" fillId="6" borderId="22" xfId="0" applyNumberFormat="1" applyFill="1" applyBorder="1"/>
    <xf numFmtId="8" fontId="0" fillId="0" borderId="5" xfId="0" applyNumberFormat="1" applyBorder="1"/>
    <xf numFmtId="0" fontId="3" fillId="6" borderId="20" xfId="0" applyFont="1" applyFill="1" applyBorder="1"/>
    <xf numFmtId="0" fontId="3" fillId="6" borderId="21" xfId="0" applyFont="1" applyFill="1" applyBorder="1"/>
    <xf numFmtId="164" fontId="3" fillId="2" borderId="35" xfId="0" applyNumberFormat="1" applyFont="1" applyFill="1" applyBorder="1"/>
    <xf numFmtId="0" fontId="6" fillId="3" borderId="21" xfId="3" applyFont="1" applyBorder="1" applyAlignment="1">
      <alignment horizontal="center"/>
    </xf>
    <xf numFmtId="0" fontId="6" fillId="3" borderId="22" xfId="3" applyFont="1" applyBorder="1" applyAlignment="1">
      <alignment horizontal="center"/>
    </xf>
    <xf numFmtId="0" fontId="14" fillId="3" borderId="20" xfId="3" applyFont="1" applyBorder="1"/>
    <xf numFmtId="0" fontId="14" fillId="3" borderId="21" xfId="3" applyFont="1" applyBorder="1"/>
    <xf numFmtId="0" fontId="14" fillId="3" borderId="22" xfId="3" applyFont="1" applyBorder="1"/>
    <xf numFmtId="41" fontId="11" fillId="3" borderId="20" xfId="4" applyFont="1" applyFill="1" applyBorder="1" applyAlignment="1">
      <alignment horizontal="center"/>
    </xf>
    <xf numFmtId="41" fontId="12" fillId="3" borderId="21" xfId="4" applyFont="1" applyFill="1" applyBorder="1" applyAlignment="1">
      <alignment horizontal="center"/>
    </xf>
    <xf numFmtId="41" fontId="12" fillId="3" borderId="22" xfId="4" applyFont="1" applyFill="1" applyBorder="1" applyAlignment="1">
      <alignment horizontal="center"/>
    </xf>
    <xf numFmtId="0" fontId="15" fillId="6" borderId="18" xfId="0" applyFont="1" applyFill="1" applyBorder="1"/>
    <xf numFmtId="0" fontId="16" fillId="6" borderId="18" xfId="0" applyFont="1" applyFill="1" applyBorder="1"/>
    <xf numFmtId="0" fontId="15" fillId="6" borderId="5" xfId="0" applyFont="1" applyFill="1" applyBorder="1"/>
    <xf numFmtId="0" fontId="16" fillId="6" borderId="5" xfId="0" applyFont="1" applyFill="1" applyBorder="1"/>
  </cellXfs>
  <cellStyles count="7">
    <cellStyle name="20% - Accent5" xfId="5" builtinId="46"/>
    <cellStyle name="40% - Accent5" xfId="6" builtinId="47"/>
    <cellStyle name="60% - Accent5" xfId="3" builtinId="48"/>
    <cellStyle name="Comma" xfId="1" builtinId="3"/>
    <cellStyle name="Comma [0]" xfId="4" builtinId="6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wnloads/DCF%20Updated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ource P&amp;L"/>
      <sheetName val="BS 2014"/>
      <sheetName val="BS 2015"/>
      <sheetName val="BS 2016"/>
      <sheetName val="Exercise --&gt;"/>
      <sheetName val="Data"/>
      <sheetName val="P&amp;L"/>
      <sheetName val="Balance Sheet"/>
      <sheetName val="Fixed Asset Roll Forward"/>
      <sheetName val="Financial Liabilities"/>
      <sheetName val="Equity Schedule"/>
      <sheetName val="Cash Flow"/>
      <sheetName val="Weighted Average Cost of Capita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H14">
            <v>-0.17910447761194026</v>
          </cell>
        </row>
      </sheetData>
      <sheetData sheetId="7">
        <row r="13">
          <cell r="D13">
            <v>28.699999999999996</v>
          </cell>
          <cell r="E13">
            <v>28.699999999999996</v>
          </cell>
          <cell r="F13">
            <v>28.699999999999996</v>
          </cell>
          <cell r="G13">
            <v>28.699999999999996</v>
          </cell>
          <cell r="H13">
            <v>28.699999999999996</v>
          </cell>
          <cell r="I13">
            <v>28.699999999999996</v>
          </cell>
        </row>
      </sheetData>
      <sheetData sheetId="8">
        <row r="8">
          <cell r="E8">
            <v>68</v>
          </cell>
        </row>
      </sheetData>
      <sheetData sheetId="9"/>
      <sheetData sheetId="10">
        <row r="9">
          <cell r="F9">
            <v>-45.801549576943742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4AAC-AA0E-4C89-B567-DDF76AA16893}">
  <dimension ref="D5:E7"/>
  <sheetViews>
    <sheetView workbookViewId="0">
      <selection activeCell="E15" sqref="E15"/>
    </sheetView>
  </sheetViews>
  <sheetFormatPr defaultRowHeight="15" x14ac:dyDescent="0.25"/>
  <cols>
    <col min="4" max="4" width="22.42578125" customWidth="1"/>
    <col min="5" max="5" width="34.85546875" customWidth="1"/>
  </cols>
  <sheetData>
    <row r="5" spans="4:5" ht="15.75" thickBot="1" x14ac:dyDescent="0.3"/>
    <row r="6" spans="4:5" ht="29.25" thickBot="1" x14ac:dyDescent="0.5">
      <c r="D6" s="263" t="s">
        <v>188</v>
      </c>
      <c r="E6" s="262" t="s">
        <v>186</v>
      </c>
    </row>
    <row r="7" spans="4:5" ht="29.25" thickBot="1" x14ac:dyDescent="0.5">
      <c r="D7" s="261" t="s">
        <v>189</v>
      </c>
      <c r="E7" s="260" t="s">
        <v>187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workbookViewId="0">
      <selection activeCell="C92" sqref="C92"/>
    </sheetView>
  </sheetViews>
  <sheetFormatPr defaultRowHeight="15" x14ac:dyDescent="0.25"/>
  <cols>
    <col min="1" max="1" width="55" customWidth="1"/>
    <col min="2" max="2" width="17.5703125" customWidth="1"/>
    <col min="3" max="3" width="20" customWidth="1"/>
    <col min="4" max="4" width="19.140625" customWidth="1"/>
    <col min="6" max="6" width="10.5703125" bestFit="1" customWidth="1"/>
    <col min="7" max="7" width="9.5703125" bestFit="1" customWidth="1"/>
  </cols>
  <sheetData>
    <row r="1" spans="1:4" ht="21" x14ac:dyDescent="0.35">
      <c r="A1" s="10" t="s">
        <v>128</v>
      </c>
    </row>
    <row r="2" spans="1:4" x14ac:dyDescent="0.25">
      <c r="A2" s="1" t="s">
        <v>0</v>
      </c>
      <c r="B2" s="40" t="s">
        <v>3</v>
      </c>
      <c r="C2" s="40" t="s">
        <v>2</v>
      </c>
      <c r="D2" s="40" t="s">
        <v>1</v>
      </c>
    </row>
    <row r="3" spans="1:4" x14ac:dyDescent="0.25">
      <c r="A3" t="s">
        <v>4</v>
      </c>
      <c r="B3" s="41">
        <v>10930.8</v>
      </c>
      <c r="C3" s="41">
        <v>11975.4</v>
      </c>
      <c r="D3" s="41">
        <v>13314.5</v>
      </c>
    </row>
    <row r="4" spans="1:4" x14ac:dyDescent="0.25">
      <c r="A4" t="s">
        <v>5</v>
      </c>
      <c r="B4" s="41">
        <v>5060.8999999999996</v>
      </c>
      <c r="C4" s="41">
        <v>5702.2</v>
      </c>
      <c r="D4" s="41">
        <v>6523.7</v>
      </c>
    </row>
    <row r="5" spans="1:4" x14ac:dyDescent="0.25">
      <c r="A5" s="2" t="s">
        <v>6</v>
      </c>
      <c r="B5" s="41">
        <v>15991.7</v>
      </c>
      <c r="C5" s="41">
        <v>17677.599999999999</v>
      </c>
      <c r="D5" s="41">
        <v>19838.2</v>
      </c>
    </row>
    <row r="6" spans="1:4" x14ac:dyDescent="0.25">
      <c r="A6" t="s">
        <v>7</v>
      </c>
      <c r="B6" s="41">
        <v>-7935.2</v>
      </c>
      <c r="C6" s="41">
        <v>-8414.2000000000007</v>
      </c>
      <c r="D6" s="41">
        <v>-8927.9</v>
      </c>
    </row>
    <row r="7" spans="1:4" x14ac:dyDescent="0.25">
      <c r="A7" t="s">
        <v>8</v>
      </c>
      <c r="B7" s="41">
        <v>-3091.7</v>
      </c>
      <c r="C7" s="41">
        <v>-3406.2</v>
      </c>
      <c r="D7" s="41">
        <v>-3829.8</v>
      </c>
    </row>
    <row r="8" spans="1:4" x14ac:dyDescent="0.25">
      <c r="A8" t="s">
        <v>9</v>
      </c>
      <c r="B8" s="41">
        <v>-2545.9</v>
      </c>
      <c r="C8" s="41">
        <v>-2963.2</v>
      </c>
      <c r="D8" s="41">
        <v>-3580.4</v>
      </c>
    </row>
    <row r="9" spans="1:4" x14ac:dyDescent="0.25">
      <c r="A9" s="2" t="s">
        <v>10</v>
      </c>
      <c r="B9" s="41">
        <v>2418.9</v>
      </c>
      <c r="C9" s="41">
        <v>2894</v>
      </c>
      <c r="D9" s="41">
        <v>3500.1</v>
      </c>
    </row>
    <row r="10" spans="1:4" x14ac:dyDescent="0.25">
      <c r="A10" t="s">
        <v>11</v>
      </c>
      <c r="B10" s="41">
        <v>-223.5</v>
      </c>
      <c r="C10" s="41">
        <v>-234.5</v>
      </c>
      <c r="D10" s="41">
        <v>-238.4</v>
      </c>
    </row>
    <row r="11" spans="1:4" x14ac:dyDescent="0.25">
      <c r="A11" t="s">
        <v>12</v>
      </c>
      <c r="B11" s="41">
        <v>-23.3</v>
      </c>
      <c r="C11" s="41">
        <v>-92.2</v>
      </c>
      <c r="D11" s="41">
        <v>-19.899999999999999</v>
      </c>
    </row>
    <row r="12" spans="1:4" x14ac:dyDescent="0.25">
      <c r="A12" s="2" t="s">
        <v>13</v>
      </c>
      <c r="B12" s="41">
        <v>2172.1</v>
      </c>
      <c r="C12" s="41">
        <v>2567.3000000000002</v>
      </c>
      <c r="D12" s="41">
        <v>3241.8</v>
      </c>
    </row>
    <row r="13" spans="1:4" x14ac:dyDescent="0.25">
      <c r="A13" t="s">
        <v>14</v>
      </c>
      <c r="B13" s="41">
        <v>-375.9</v>
      </c>
      <c r="C13" s="41">
        <v>-498.4</v>
      </c>
      <c r="D13" s="41">
        <v>-627.6</v>
      </c>
    </row>
    <row r="14" spans="1:4" x14ac:dyDescent="0.25">
      <c r="A14" t="s">
        <v>15</v>
      </c>
      <c r="B14" s="41">
        <v>1796.2</v>
      </c>
      <c r="C14" s="41">
        <v>2068.9</v>
      </c>
      <c r="D14" s="41">
        <v>2614.1999999999998</v>
      </c>
    </row>
    <row r="15" spans="1:4" x14ac:dyDescent="0.25">
      <c r="A15" t="s">
        <v>16</v>
      </c>
      <c r="B15" s="41">
        <v>-21.5</v>
      </c>
      <c r="C15" s="41">
        <v>-27.2</v>
      </c>
      <c r="D15" s="41">
        <v>-24.7</v>
      </c>
    </row>
    <row r="16" spans="1:4" x14ac:dyDescent="0.25">
      <c r="A16" s="2" t="s">
        <v>17</v>
      </c>
      <c r="B16" s="41">
        <v>1774.7</v>
      </c>
      <c r="C16" s="41">
        <v>2041.7</v>
      </c>
      <c r="D16" s="41">
        <v>2589.5</v>
      </c>
    </row>
    <row r="17" spans="1:9" x14ac:dyDescent="0.25">
      <c r="A17" t="s">
        <v>18</v>
      </c>
      <c r="B17" s="41">
        <v>-18.2</v>
      </c>
      <c r="C17" s="41">
        <v>-17.8</v>
      </c>
      <c r="D17" s="41">
        <v>-21.6</v>
      </c>
    </row>
    <row r="18" spans="1:9" x14ac:dyDescent="0.25">
      <c r="A18" t="s">
        <v>19</v>
      </c>
      <c r="B18" s="41">
        <v>1756.5</v>
      </c>
      <c r="C18" s="41">
        <v>2023.9</v>
      </c>
      <c r="D18" s="41">
        <v>2567.9</v>
      </c>
    </row>
    <row r="21" spans="1:9" ht="21" x14ac:dyDescent="0.35">
      <c r="A21" s="8" t="s">
        <v>36</v>
      </c>
    </row>
    <row r="23" spans="1:9" x14ac:dyDescent="0.25">
      <c r="A23" s="1" t="s">
        <v>37</v>
      </c>
      <c r="B23" s="1" t="s">
        <v>3</v>
      </c>
      <c r="C23" s="1" t="s">
        <v>2</v>
      </c>
      <c r="D23" s="1" t="s">
        <v>1</v>
      </c>
    </row>
    <row r="24" spans="1:9" x14ac:dyDescent="0.25">
      <c r="A24" t="s">
        <v>38</v>
      </c>
      <c r="B24" s="41">
        <v>1774.7</v>
      </c>
      <c r="C24" s="41">
        <v>2041.7</v>
      </c>
      <c r="D24" s="41">
        <v>2589.5</v>
      </c>
      <c r="E24" s="41"/>
    </row>
    <row r="25" spans="1:9" x14ac:dyDescent="0.25">
      <c r="A25" t="s">
        <v>39</v>
      </c>
      <c r="B25" s="41">
        <v>21.5</v>
      </c>
      <c r="C25" s="41">
        <v>27.2</v>
      </c>
      <c r="D25" s="41">
        <v>24.7</v>
      </c>
      <c r="E25" s="41"/>
    </row>
    <row r="26" spans="1:9" x14ac:dyDescent="0.25">
      <c r="A26" t="s">
        <v>40</v>
      </c>
      <c r="B26" s="41">
        <v>323.60000000000002</v>
      </c>
      <c r="C26" s="41">
        <v>348.1</v>
      </c>
      <c r="D26" s="41">
        <v>379.4</v>
      </c>
      <c r="E26" s="41"/>
    </row>
    <row r="27" spans="1:9" x14ac:dyDescent="0.25">
      <c r="A27" t="s">
        <v>41</v>
      </c>
      <c r="B27" s="41">
        <v>55.6</v>
      </c>
      <c r="C27" s="41">
        <v>51</v>
      </c>
      <c r="D27" s="41">
        <v>40.6</v>
      </c>
      <c r="E27" s="41"/>
    </row>
    <row r="28" spans="1:9" x14ac:dyDescent="0.25">
      <c r="A28" t="s">
        <v>42</v>
      </c>
      <c r="B28" s="41">
        <v>56.3</v>
      </c>
      <c r="C28" s="41">
        <v>64.3</v>
      </c>
      <c r="D28" s="41">
        <v>82.9</v>
      </c>
      <c r="E28" s="41"/>
    </row>
    <row r="29" spans="1:9" x14ac:dyDescent="0.25">
      <c r="A29" t="s">
        <v>43</v>
      </c>
      <c r="B29" s="41">
        <v>17.100000000000001</v>
      </c>
      <c r="C29" s="41">
        <v>-32.700000000000003</v>
      </c>
      <c r="D29" s="41">
        <v>-178.3</v>
      </c>
      <c r="E29" s="41"/>
    </row>
    <row r="30" spans="1:9" x14ac:dyDescent="0.25">
      <c r="A30" t="s">
        <v>44</v>
      </c>
      <c r="B30" s="41">
        <v>-345.4</v>
      </c>
      <c r="C30" s="41">
        <v>-110.1</v>
      </c>
      <c r="D30" s="41">
        <v>-180.6</v>
      </c>
      <c r="E30" s="41"/>
    </row>
    <row r="31" spans="1:9" x14ac:dyDescent="0.25">
      <c r="A31" t="s">
        <v>45</v>
      </c>
      <c r="B31" s="41">
        <v>-466.7</v>
      </c>
      <c r="C31" s="41">
        <v>-96.4</v>
      </c>
      <c r="D31" s="41">
        <v>162.5</v>
      </c>
      <c r="E31" s="41"/>
      <c r="I31" s="131"/>
    </row>
    <row r="32" spans="1:9" x14ac:dyDescent="0.25">
      <c r="A32" t="s">
        <v>46</v>
      </c>
      <c r="B32" s="41">
        <v>-116.8</v>
      </c>
      <c r="C32" s="41">
        <v>-152.30000000000001</v>
      </c>
      <c r="D32" s="41">
        <v>-162.4</v>
      </c>
      <c r="E32" s="41"/>
    </row>
    <row r="33" spans="1:5" x14ac:dyDescent="0.25">
      <c r="A33" t="s">
        <v>47</v>
      </c>
      <c r="B33" s="41">
        <v>317.89999999999998</v>
      </c>
      <c r="C33" s="41">
        <v>-125.3</v>
      </c>
      <c r="D33" s="41">
        <v>100.9</v>
      </c>
      <c r="E33" s="41"/>
    </row>
    <row r="34" spans="1:5" x14ac:dyDescent="0.25">
      <c r="A34" t="s">
        <v>48</v>
      </c>
      <c r="B34" s="41">
        <v>60.9</v>
      </c>
      <c r="C34" s="41">
        <v>411.3</v>
      </c>
      <c r="D34" s="41">
        <v>318.5</v>
      </c>
      <c r="E34" s="41"/>
    </row>
    <row r="35" spans="1:5" x14ac:dyDescent="0.25">
      <c r="A35" t="s">
        <v>49</v>
      </c>
      <c r="B35" s="41">
        <v>1698.7</v>
      </c>
      <c r="C35" s="41">
        <v>2426.8000000000002</v>
      </c>
      <c r="D35" s="41">
        <v>3177.7</v>
      </c>
      <c r="E35" s="41"/>
    </row>
    <row r="36" spans="1:5" x14ac:dyDescent="0.25">
      <c r="A36" t="s">
        <v>50</v>
      </c>
      <c r="B36" s="41">
        <v>-194.7</v>
      </c>
      <c r="C36" s="41">
        <v>-37.200000000000003</v>
      </c>
      <c r="D36" s="41">
        <v>-32.1</v>
      </c>
      <c r="E36" s="41"/>
    </row>
    <row r="37" spans="1:5" x14ac:dyDescent="0.25">
      <c r="A37" t="s">
        <v>51</v>
      </c>
      <c r="B37" s="41">
        <v>1504</v>
      </c>
      <c r="C37" s="41">
        <v>2389.6</v>
      </c>
      <c r="D37" s="41">
        <v>3145.6</v>
      </c>
      <c r="E37" s="41"/>
    </row>
    <row r="38" spans="1:5" x14ac:dyDescent="0.25">
      <c r="A38" t="s">
        <v>52</v>
      </c>
      <c r="B38" s="41">
        <v>-291.8</v>
      </c>
      <c r="C38" s="41">
        <v>-300.7</v>
      </c>
      <c r="D38" s="41">
        <v>-370.6</v>
      </c>
      <c r="E38" s="41"/>
    </row>
    <row r="39" spans="1:5" x14ac:dyDescent="0.25">
      <c r="A39" t="s">
        <v>53</v>
      </c>
      <c r="B39" s="41">
        <v>-234.7</v>
      </c>
      <c r="C39" s="41">
        <v>-862.8</v>
      </c>
      <c r="D39" s="41">
        <v>-180.3</v>
      </c>
      <c r="E39" s="41"/>
    </row>
    <row r="40" spans="1:5" x14ac:dyDescent="0.25">
      <c r="A40" t="s">
        <v>54</v>
      </c>
      <c r="B40" s="41">
        <v>9.6999999999999993</v>
      </c>
      <c r="C40" s="41">
        <v>9.1999999999999993</v>
      </c>
      <c r="D40" s="41">
        <v>4.7</v>
      </c>
      <c r="E40" s="41"/>
    </row>
    <row r="41" spans="1:5" x14ac:dyDescent="0.25">
      <c r="A41" t="s">
        <v>55</v>
      </c>
      <c r="B41" s="41">
        <v>0</v>
      </c>
      <c r="C41" s="41">
        <v>0</v>
      </c>
      <c r="D41" s="41">
        <v>-450</v>
      </c>
      <c r="E41" s="41"/>
    </row>
    <row r="42" spans="1:5" x14ac:dyDescent="0.25">
      <c r="A42" t="s">
        <v>56</v>
      </c>
      <c r="B42" s="41">
        <v>0</v>
      </c>
      <c r="C42" s="41">
        <v>0</v>
      </c>
      <c r="D42" s="41">
        <v>450</v>
      </c>
      <c r="E42" s="41"/>
    </row>
    <row r="43" spans="1:5" x14ac:dyDescent="0.25">
      <c r="A43" t="s">
        <v>57</v>
      </c>
      <c r="B43" s="41">
        <v>-23</v>
      </c>
      <c r="C43" s="41">
        <v>-17.899999999999999</v>
      </c>
      <c r="D43" s="41">
        <v>-16.7</v>
      </c>
      <c r="E43" s="41"/>
    </row>
    <row r="44" spans="1:5" x14ac:dyDescent="0.25">
      <c r="A44" t="s">
        <v>58</v>
      </c>
      <c r="B44" s="41">
        <v>-539.79999999999995</v>
      </c>
      <c r="C44" s="41">
        <v>-1172.2</v>
      </c>
      <c r="D44" s="41">
        <v>-562.9</v>
      </c>
      <c r="E44" s="41"/>
    </row>
    <row r="45" spans="1:5" x14ac:dyDescent="0.25">
      <c r="A45" t="s">
        <v>59</v>
      </c>
      <c r="B45" s="41">
        <v>-0.6</v>
      </c>
      <c r="C45" s="41">
        <v>0</v>
      </c>
      <c r="D45" s="41">
        <v>0</v>
      </c>
      <c r="E45" s="41"/>
    </row>
    <row r="46" spans="1:5" x14ac:dyDescent="0.25">
      <c r="A46" t="s">
        <v>60</v>
      </c>
      <c r="B46" s="41">
        <v>-540.4</v>
      </c>
      <c r="C46" s="41">
        <v>-1172.2</v>
      </c>
      <c r="D46" s="41">
        <v>-562.9</v>
      </c>
      <c r="E46" s="41"/>
    </row>
    <row r="47" spans="1:5" x14ac:dyDescent="0.25">
      <c r="A47" t="s">
        <v>61</v>
      </c>
      <c r="B47" s="41">
        <v>0</v>
      </c>
      <c r="C47" s="41">
        <v>-1.9</v>
      </c>
      <c r="D47" s="41">
        <v>0</v>
      </c>
      <c r="E47" s="41"/>
    </row>
    <row r="48" spans="1:5" x14ac:dyDescent="0.25">
      <c r="A48" t="s">
        <v>62</v>
      </c>
      <c r="B48" s="41">
        <v>0</v>
      </c>
      <c r="C48" s="41">
        <v>699.2</v>
      </c>
      <c r="D48" s="41">
        <v>498.5</v>
      </c>
      <c r="E48" s="41"/>
    </row>
    <row r="49" spans="1:5" x14ac:dyDescent="0.25">
      <c r="A49" t="s">
        <v>63</v>
      </c>
      <c r="B49" s="41">
        <v>-9.6</v>
      </c>
      <c r="C49" s="41">
        <v>-754.6</v>
      </c>
      <c r="D49" s="41">
        <v>-507.5</v>
      </c>
      <c r="E49" s="41"/>
    </row>
    <row r="50" spans="1:5" x14ac:dyDescent="0.25">
      <c r="A50" t="s">
        <v>64</v>
      </c>
      <c r="B50" s="41">
        <v>-9.6</v>
      </c>
      <c r="C50" s="41">
        <v>-57.3</v>
      </c>
      <c r="D50" s="41">
        <v>-9</v>
      </c>
      <c r="E50" s="41"/>
    </row>
    <row r="51" spans="1:5" x14ac:dyDescent="0.25">
      <c r="A51" t="s">
        <v>65</v>
      </c>
      <c r="B51" s="41">
        <v>-2.1</v>
      </c>
      <c r="C51" s="41">
        <v>-6.4</v>
      </c>
      <c r="D51" s="41">
        <v>-4.5999999999999996</v>
      </c>
      <c r="E51" s="41"/>
    </row>
    <row r="52" spans="1:5" x14ac:dyDescent="0.25">
      <c r="A52" t="s">
        <v>66</v>
      </c>
      <c r="B52" s="41">
        <v>-620.20000000000005</v>
      </c>
      <c r="C52" s="41">
        <v>-683.7</v>
      </c>
      <c r="D52" s="41">
        <v>-757.5</v>
      </c>
      <c r="E52" s="41"/>
    </row>
    <row r="53" spans="1:5" x14ac:dyDescent="0.25">
      <c r="A53" t="s">
        <v>67</v>
      </c>
      <c r="B53" s="41">
        <v>-14.5</v>
      </c>
      <c r="C53" s="41">
        <v>-12.9</v>
      </c>
      <c r="D53" s="41">
        <v>-13.3</v>
      </c>
      <c r="E53" s="41"/>
    </row>
    <row r="54" spans="1:5" x14ac:dyDescent="0.25">
      <c r="A54" t="s">
        <v>68</v>
      </c>
      <c r="B54" s="41">
        <v>2.6</v>
      </c>
      <c r="C54" s="41">
        <v>79.3</v>
      </c>
      <c r="D54" s="41">
        <v>46.9</v>
      </c>
      <c r="E54" s="41"/>
    </row>
    <row r="55" spans="1:5" x14ac:dyDescent="0.25">
      <c r="A55" t="s">
        <v>69</v>
      </c>
      <c r="B55" s="41">
        <v>-1200.2</v>
      </c>
      <c r="C55" s="41">
        <v>-669.3</v>
      </c>
      <c r="D55" s="41">
        <v>-1280.8</v>
      </c>
      <c r="E55" s="41"/>
    </row>
    <row r="56" spans="1:5" x14ac:dyDescent="0.25">
      <c r="A56" t="s">
        <v>70</v>
      </c>
      <c r="B56" s="41">
        <v>-6.2</v>
      </c>
      <c r="C56" s="41">
        <v>0</v>
      </c>
      <c r="D56" s="41">
        <v>0</v>
      </c>
      <c r="E56" s="41"/>
    </row>
    <row r="57" spans="1:5" x14ac:dyDescent="0.25">
      <c r="A57" t="s">
        <v>71</v>
      </c>
      <c r="B57" s="41">
        <v>-2</v>
      </c>
      <c r="C57" s="41">
        <v>0</v>
      </c>
      <c r="D57" s="41">
        <v>-2.2999999999999998</v>
      </c>
      <c r="E57" s="41"/>
    </row>
    <row r="58" spans="1:5" x14ac:dyDescent="0.25">
      <c r="A58" t="s">
        <v>72</v>
      </c>
      <c r="B58" s="41">
        <v>-1852.2</v>
      </c>
      <c r="C58" s="41">
        <v>-1350.3</v>
      </c>
      <c r="D58" s="41">
        <v>-2020.6</v>
      </c>
      <c r="E58" s="41"/>
    </row>
    <row r="59" spans="1:5" x14ac:dyDescent="0.25">
      <c r="A59" t="s">
        <v>73</v>
      </c>
      <c r="B59" s="41">
        <v>-50.1</v>
      </c>
      <c r="C59" s="41">
        <v>7.7</v>
      </c>
      <c r="D59" s="41">
        <v>-67.3</v>
      </c>
      <c r="E59" s="41"/>
    </row>
    <row r="60" spans="1:5" x14ac:dyDescent="0.25">
      <c r="A60" t="s">
        <v>74</v>
      </c>
      <c r="B60" s="41">
        <v>-938.7</v>
      </c>
      <c r="C60" s="41">
        <v>-125.2</v>
      </c>
      <c r="D60" s="41">
        <v>494.8</v>
      </c>
      <c r="E60" s="41"/>
    </row>
    <row r="61" spans="1:5" x14ac:dyDescent="0.25">
      <c r="A61" t="s">
        <v>75</v>
      </c>
      <c r="B61" s="41">
        <v>2159.1999999999998</v>
      </c>
      <c r="C61" s="41">
        <v>1220.5</v>
      </c>
      <c r="D61" s="41">
        <v>1095.3</v>
      </c>
      <c r="E61" s="41"/>
    </row>
    <row r="62" spans="1:5" x14ac:dyDescent="0.25">
      <c r="A62" t="s">
        <v>76</v>
      </c>
      <c r="B62" s="41">
        <v>1220.5</v>
      </c>
      <c r="C62" s="41">
        <v>1095.3</v>
      </c>
      <c r="D62" s="41">
        <v>1590.1</v>
      </c>
      <c r="E62" s="41"/>
    </row>
    <row r="63" spans="1:5" x14ac:dyDescent="0.25">
      <c r="A63" t="s">
        <v>77</v>
      </c>
      <c r="B63" s="41">
        <v>218</v>
      </c>
      <c r="C63" s="41">
        <v>217.4</v>
      </c>
      <c r="D63" s="41">
        <v>233.3</v>
      </c>
      <c r="E63" s="41"/>
    </row>
    <row r="64" spans="1:5" x14ac:dyDescent="0.25">
      <c r="A64" t="s">
        <v>78</v>
      </c>
      <c r="B64" s="41">
        <v>321.3</v>
      </c>
      <c r="C64" s="41">
        <v>523.6</v>
      </c>
      <c r="D64" s="41">
        <v>710.5</v>
      </c>
      <c r="E64" s="41"/>
    </row>
    <row r="65" spans="1:6" x14ac:dyDescent="0.25">
      <c r="B65" s="41"/>
      <c r="C65" s="41"/>
      <c r="D65" s="41"/>
      <c r="E65" s="41"/>
    </row>
    <row r="66" spans="1:6" ht="21" x14ac:dyDescent="0.35">
      <c r="A66" s="10" t="s">
        <v>81</v>
      </c>
      <c r="B66" s="41"/>
      <c r="C66" s="41"/>
      <c r="D66" s="41"/>
      <c r="E66" s="41"/>
    </row>
    <row r="67" spans="1:6" x14ac:dyDescent="0.25">
      <c r="A67" s="14" t="s">
        <v>110</v>
      </c>
      <c r="B67" s="41"/>
      <c r="C67" s="41"/>
      <c r="D67" s="41"/>
      <c r="E67" s="42"/>
    </row>
    <row r="68" spans="1:6" x14ac:dyDescent="0.25">
      <c r="A68" s="14" t="s">
        <v>111</v>
      </c>
      <c r="B68" s="43" t="s">
        <v>112</v>
      </c>
      <c r="C68" s="43" t="s">
        <v>83</v>
      </c>
      <c r="D68" s="43" t="s">
        <v>82</v>
      </c>
      <c r="E68" s="41"/>
    </row>
    <row r="69" spans="1:6" x14ac:dyDescent="0.25">
      <c r="A69" s="11" t="s">
        <v>84</v>
      </c>
      <c r="B69" s="44">
        <v>1220.5</v>
      </c>
      <c r="C69" s="45">
        <v>1095.3</v>
      </c>
      <c r="D69" s="45">
        <v>1590.1</v>
      </c>
      <c r="E69" s="41"/>
    </row>
    <row r="70" spans="1:6" x14ac:dyDescent="0.25">
      <c r="A70" s="11" t="s">
        <v>85</v>
      </c>
      <c r="B70" s="44">
        <v>2780.1</v>
      </c>
      <c r="C70" s="45">
        <v>2956.8</v>
      </c>
      <c r="D70" s="45">
        <v>3090.2</v>
      </c>
      <c r="E70" s="41"/>
    </row>
    <row r="71" spans="1:6" x14ac:dyDescent="0.25">
      <c r="A71" s="11" t="s">
        <v>45</v>
      </c>
      <c r="B71" s="44">
        <v>1993.8</v>
      </c>
      <c r="C71" s="45">
        <v>2152.1</v>
      </c>
      <c r="D71" s="45">
        <v>1971.5</v>
      </c>
      <c r="E71" s="41"/>
    </row>
    <row r="72" spans="1:6" x14ac:dyDescent="0.25">
      <c r="A72" s="11" t="s">
        <v>86</v>
      </c>
      <c r="B72" s="44">
        <v>384.8</v>
      </c>
      <c r="C72" s="45">
        <v>665.7</v>
      </c>
      <c r="D72" s="45">
        <v>686</v>
      </c>
      <c r="E72" s="41"/>
    </row>
    <row r="73" spans="1:6" x14ac:dyDescent="0.25">
      <c r="A73" s="13" t="s">
        <v>87</v>
      </c>
      <c r="B73" s="42">
        <v>6379.2</v>
      </c>
      <c r="C73" s="46">
        <v>6869.9</v>
      </c>
      <c r="D73" s="46">
        <v>7337.8</v>
      </c>
      <c r="E73" s="41"/>
    </row>
    <row r="74" spans="1:6" x14ac:dyDescent="0.25">
      <c r="A74" s="11" t="s">
        <v>88</v>
      </c>
      <c r="B74" s="44">
        <v>1536.1</v>
      </c>
      <c r="C74" s="45">
        <v>1772.2</v>
      </c>
      <c r="D74" s="45">
        <v>2024.5</v>
      </c>
      <c r="E74" s="41"/>
    </row>
    <row r="75" spans="1:6" x14ac:dyDescent="0.25">
      <c r="A75" s="11" t="s">
        <v>89</v>
      </c>
      <c r="B75" s="44">
        <v>5503.7</v>
      </c>
      <c r="C75" s="45">
        <v>6095.3</v>
      </c>
      <c r="D75" s="45">
        <v>6127.9</v>
      </c>
      <c r="E75" s="41"/>
    </row>
    <row r="76" spans="1:6" x14ac:dyDescent="0.25">
      <c r="A76" s="11" t="s">
        <v>90</v>
      </c>
      <c r="B76" s="44">
        <v>3264</v>
      </c>
      <c r="C76" s="45">
        <v>3439.8</v>
      </c>
      <c r="D76" s="45">
        <v>3308.2</v>
      </c>
      <c r="E76" s="41"/>
    </row>
    <row r="77" spans="1:6" x14ac:dyDescent="0.25">
      <c r="A77" s="11" t="s">
        <v>91</v>
      </c>
      <c r="B77" s="44">
        <v>1398.6</v>
      </c>
      <c r="C77" s="45">
        <v>1214.7</v>
      </c>
      <c r="D77" s="45">
        <v>1348.3</v>
      </c>
      <c r="E77" s="41"/>
    </row>
    <row r="78" spans="1:6" x14ac:dyDescent="0.25">
      <c r="A78" s="13" t="s">
        <v>92</v>
      </c>
      <c r="B78" s="42">
        <v>18081.599999999999</v>
      </c>
      <c r="C78" s="46">
        <v>19391.900000000001</v>
      </c>
      <c r="D78" s="46">
        <v>20146.7</v>
      </c>
      <c r="E78" s="41"/>
    </row>
    <row r="79" spans="1:6" x14ac:dyDescent="0.25">
      <c r="A79" s="11" t="s">
        <v>47</v>
      </c>
      <c r="B79" s="44">
        <v>2091.6</v>
      </c>
      <c r="C79" s="45">
        <v>2025.2</v>
      </c>
      <c r="D79" s="45">
        <v>2148</v>
      </c>
      <c r="E79" s="41"/>
    </row>
    <row r="80" spans="1:6" x14ac:dyDescent="0.25">
      <c r="A80" s="11" t="s">
        <v>93</v>
      </c>
      <c r="B80" s="44">
        <v>541.20000000000005</v>
      </c>
      <c r="C80" s="45">
        <v>591.70000000000005</v>
      </c>
      <c r="D80" s="45">
        <v>678.4</v>
      </c>
      <c r="E80" s="41"/>
      <c r="F80" s="131"/>
    </row>
    <row r="81" spans="1:7" x14ac:dyDescent="0.25">
      <c r="A81" s="11" t="s">
        <v>94</v>
      </c>
      <c r="B81" s="44">
        <v>2006</v>
      </c>
      <c r="C81" s="45">
        <v>2634.7</v>
      </c>
      <c r="D81" s="45">
        <v>2790.3</v>
      </c>
      <c r="E81" s="41"/>
      <c r="G81" s="131"/>
    </row>
    <row r="82" spans="1:7" ht="30" x14ac:dyDescent="0.25">
      <c r="A82" s="11" t="s">
        <v>95</v>
      </c>
      <c r="B82" s="44">
        <v>1048</v>
      </c>
      <c r="C82" s="45">
        <v>801.9</v>
      </c>
      <c r="D82" s="45">
        <v>452.2</v>
      </c>
      <c r="E82" s="41"/>
    </row>
    <row r="83" spans="1:7" x14ac:dyDescent="0.25">
      <c r="A83" s="13" t="s">
        <v>96</v>
      </c>
      <c r="B83" s="42">
        <v>5686.8</v>
      </c>
      <c r="C83" s="46">
        <v>6053.5</v>
      </c>
      <c r="D83" s="46">
        <v>6068.9</v>
      </c>
      <c r="E83" s="41"/>
    </row>
    <row r="84" spans="1:7" x14ac:dyDescent="0.25">
      <c r="A84" s="11" t="s">
        <v>97</v>
      </c>
      <c r="B84" s="44">
        <v>3788.3</v>
      </c>
      <c r="C84" s="45">
        <v>3977.9</v>
      </c>
      <c r="D84" s="45">
        <v>4318.1000000000004</v>
      </c>
      <c r="E84" s="41"/>
      <c r="G84" s="131">
        <f>SUM(B80,B81,B85,B86)</f>
        <v>3894.2999999999997</v>
      </c>
    </row>
    <row r="85" spans="1:7" x14ac:dyDescent="0.25">
      <c r="A85" s="11" t="s">
        <v>98</v>
      </c>
      <c r="B85" s="44">
        <v>667</v>
      </c>
      <c r="C85" s="45">
        <v>596.9</v>
      </c>
      <c r="D85" s="45">
        <v>561.9</v>
      </c>
      <c r="E85" s="41"/>
    </row>
    <row r="86" spans="1:7" x14ac:dyDescent="0.25">
      <c r="A86" s="11" t="s">
        <v>99</v>
      </c>
      <c r="B86" s="44">
        <v>680.1</v>
      </c>
      <c r="C86" s="45">
        <v>703.7</v>
      </c>
      <c r="D86" s="45">
        <v>586.6</v>
      </c>
      <c r="E86" s="41"/>
    </row>
    <row r="87" spans="1:7" x14ac:dyDescent="0.25">
      <c r="A87" s="11" t="s">
        <v>100</v>
      </c>
      <c r="B87" s="44">
        <v>1154.2</v>
      </c>
      <c r="C87" s="45">
        <v>1042.9000000000001</v>
      </c>
      <c r="D87" s="45">
        <v>1124.3</v>
      </c>
      <c r="E87" s="41"/>
    </row>
    <row r="88" spans="1:7" x14ac:dyDescent="0.25">
      <c r="A88" s="13" t="s">
        <v>101</v>
      </c>
      <c r="B88" s="42">
        <v>11976.4</v>
      </c>
      <c r="C88" s="46">
        <v>12374.9</v>
      </c>
      <c r="D88" s="46">
        <v>12659.8</v>
      </c>
      <c r="E88" s="41"/>
    </row>
    <row r="89" spans="1:7" x14ac:dyDescent="0.25">
      <c r="A89" s="11" t="s">
        <v>102</v>
      </c>
      <c r="B89" s="44">
        <v>253.3</v>
      </c>
      <c r="C89" s="45">
        <v>251.7</v>
      </c>
      <c r="D89" s="45">
        <v>249</v>
      </c>
      <c r="E89" s="41"/>
    </row>
    <row r="90" spans="1:7" x14ac:dyDescent="0.25">
      <c r="A90" s="11" t="s">
        <v>103</v>
      </c>
      <c r="B90" s="44">
        <v>-1719.4</v>
      </c>
      <c r="C90" s="45">
        <v>-1719.4</v>
      </c>
      <c r="D90" s="45">
        <v>-1719.3</v>
      </c>
      <c r="E90" s="41"/>
    </row>
    <row r="91" spans="1:7" x14ac:dyDescent="0.25">
      <c r="A91" s="11" t="s">
        <v>104</v>
      </c>
      <c r="B91" s="44">
        <v>8320.9</v>
      </c>
      <c r="C91" s="45">
        <v>9133.7000000000007</v>
      </c>
      <c r="D91" s="45">
        <v>9791.7999999999993</v>
      </c>
      <c r="E91" s="41"/>
    </row>
    <row r="92" spans="1:7" x14ac:dyDescent="0.25">
      <c r="A92" s="11" t="s">
        <v>105</v>
      </c>
      <c r="B92" s="44">
        <v>-766.2</v>
      </c>
      <c r="C92" s="45">
        <v>-670.8</v>
      </c>
      <c r="D92" s="45">
        <v>-864.1</v>
      </c>
      <c r="E92" s="41"/>
    </row>
    <row r="93" spans="1:7" x14ac:dyDescent="0.25">
      <c r="A93" s="13" t="s">
        <v>106</v>
      </c>
      <c r="B93" s="42">
        <v>6088.6</v>
      </c>
      <c r="C93" s="46">
        <v>6995.2</v>
      </c>
      <c r="D93" s="46">
        <v>7457.4</v>
      </c>
      <c r="E93" s="41"/>
    </row>
    <row r="94" spans="1:7" x14ac:dyDescent="0.25">
      <c r="A94" s="11" t="s">
        <v>107</v>
      </c>
      <c r="B94" s="44">
        <v>16.600000000000001</v>
      </c>
      <c r="C94" s="45">
        <v>21.8</v>
      </c>
      <c r="D94" s="45">
        <v>29.5</v>
      </c>
      <c r="E94" s="41"/>
    </row>
    <row r="95" spans="1:7" x14ac:dyDescent="0.25">
      <c r="A95" s="13" t="s">
        <v>108</v>
      </c>
      <c r="B95" s="42">
        <v>6105.2</v>
      </c>
      <c r="C95" s="46">
        <v>7017</v>
      </c>
      <c r="D95" s="46">
        <v>7486.9</v>
      </c>
      <c r="E95" s="41"/>
    </row>
    <row r="96" spans="1:7" x14ac:dyDescent="0.25">
      <c r="A96" s="13" t="s">
        <v>109</v>
      </c>
      <c r="B96" s="47">
        <f>B95+B88</f>
        <v>18081.599999999999</v>
      </c>
      <c r="C96" s="46">
        <v>19391.900000000001</v>
      </c>
      <c r="D96" s="46">
        <v>20146.7</v>
      </c>
      <c r="E96" s="41"/>
    </row>
  </sheetData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F6F9-B60B-4780-BBBE-E343F945BCCB}">
  <dimension ref="B1:J23"/>
  <sheetViews>
    <sheetView workbookViewId="0">
      <selection activeCell="B25" sqref="B25"/>
    </sheetView>
  </sheetViews>
  <sheetFormatPr defaultRowHeight="15" x14ac:dyDescent="0.25"/>
  <cols>
    <col min="1" max="1" width="11" customWidth="1"/>
    <col min="2" max="2" width="37.42578125" customWidth="1"/>
    <col min="6" max="6" width="10.5703125" customWidth="1"/>
    <col min="11" max="11" width="10" customWidth="1"/>
  </cols>
  <sheetData>
    <row r="1" spans="2:10" ht="15.75" thickBot="1" x14ac:dyDescent="0.3"/>
    <row r="2" spans="2:10" ht="21.75" thickBot="1" x14ac:dyDescent="0.4">
      <c r="B2" s="103" t="s">
        <v>128</v>
      </c>
      <c r="C2" s="88"/>
      <c r="D2" s="89"/>
      <c r="E2" s="89"/>
      <c r="F2" s="91" t="s">
        <v>20</v>
      </c>
      <c r="G2" s="94"/>
      <c r="H2" s="94"/>
      <c r="I2" s="94"/>
      <c r="J2" s="95"/>
    </row>
    <row r="3" spans="2:10" ht="15.75" thickBot="1" x14ac:dyDescent="0.3">
      <c r="B3" s="22" t="s">
        <v>21</v>
      </c>
      <c r="C3" s="4">
        <v>2022</v>
      </c>
      <c r="D3" s="4">
        <v>2023</v>
      </c>
      <c r="E3" s="4">
        <v>2024</v>
      </c>
      <c r="F3" s="120">
        <f>E3+1</f>
        <v>2025</v>
      </c>
      <c r="G3" s="4">
        <f t="shared" ref="G3:J3" si="0">F3+1</f>
        <v>2026</v>
      </c>
      <c r="H3" s="4">
        <f t="shared" si="0"/>
        <v>2027</v>
      </c>
      <c r="I3" s="4">
        <f t="shared" si="0"/>
        <v>2028</v>
      </c>
      <c r="J3" s="105">
        <f t="shared" si="0"/>
        <v>2029</v>
      </c>
    </row>
    <row r="4" spans="2:10" x14ac:dyDescent="0.25">
      <c r="B4" s="21" t="s">
        <v>22</v>
      </c>
      <c r="C4" s="32">
        <f>DATA!B5</f>
        <v>15991.7</v>
      </c>
      <c r="D4" s="32">
        <f>DATA!C5</f>
        <v>17677.599999999999</v>
      </c>
      <c r="E4" s="32">
        <f>DATA!D5</f>
        <v>19838.2</v>
      </c>
      <c r="F4" s="119">
        <f>E4*(1+F17)</f>
        <v>22096.24256619165</v>
      </c>
      <c r="G4" s="32">
        <f>F4*(1+G17)</f>
        <v>24610.794970224259</v>
      </c>
      <c r="H4" s="32">
        <f t="shared" ref="H4:J4" si="1">G4*(1+H17)</f>
        <v>27411.503437835778</v>
      </c>
      <c r="I4" s="32">
        <f t="shared" si="1"/>
        <v>30530.932529061487</v>
      </c>
      <c r="J4" s="106">
        <f t="shared" si="1"/>
        <v>34005.352650868685</v>
      </c>
    </row>
    <row r="5" spans="2:10" x14ac:dyDescent="0.25">
      <c r="B5" s="21" t="s">
        <v>23</v>
      </c>
      <c r="C5" s="32">
        <f>(SUM(DATA!B6:B7))</f>
        <v>-11026.9</v>
      </c>
      <c r="D5" s="32">
        <f>SUM(DATA!C6:C7)</f>
        <v>-11820.400000000001</v>
      </c>
      <c r="E5" s="32">
        <f>SUM(DATA!D6:D7)</f>
        <v>-12757.7</v>
      </c>
      <c r="F5" s="118">
        <f>F4*F19</f>
        <v>-14740.344172462075</v>
      </c>
      <c r="G5" s="32">
        <f>G4*G19</f>
        <v>-16417.795339288259</v>
      </c>
      <c r="H5" s="32">
        <f>H4*H19</f>
        <v>-18286.140448899263</v>
      </c>
      <c r="I5" s="32">
        <f>I4*I19</f>
        <v>-20367.103231983998</v>
      </c>
      <c r="J5" s="106">
        <f>J4*J19</f>
        <v>-22684.879579783777</v>
      </c>
    </row>
    <row r="6" spans="2:10" x14ac:dyDescent="0.25">
      <c r="B6" s="33" t="s">
        <v>24</v>
      </c>
      <c r="C6" s="5">
        <f>SUM(C4:C5)</f>
        <v>4964.8000000000011</v>
      </c>
      <c r="D6" s="5">
        <f t="shared" ref="D6:E6" si="2">SUM(D4:D5)</f>
        <v>5857.1999999999971</v>
      </c>
      <c r="E6" s="5">
        <f t="shared" si="2"/>
        <v>7080.5</v>
      </c>
      <c r="F6" s="5">
        <f t="shared" ref="F6:J6" si="3">SUM(F4:F5)</f>
        <v>7355.8983937295743</v>
      </c>
      <c r="G6" s="5">
        <f t="shared" si="3"/>
        <v>8192.9996309359994</v>
      </c>
      <c r="H6" s="5">
        <f t="shared" si="3"/>
        <v>9125.3629889365147</v>
      </c>
      <c r="I6" s="5">
        <f t="shared" si="3"/>
        <v>10163.829297077489</v>
      </c>
      <c r="J6" s="107">
        <f t="shared" si="3"/>
        <v>11320.473071084907</v>
      </c>
    </row>
    <row r="7" spans="2:10" x14ac:dyDescent="0.25">
      <c r="B7" s="21" t="s">
        <v>25</v>
      </c>
      <c r="C7" s="32">
        <f>DATA!B8-C9</f>
        <v>-2222.3000000000002</v>
      </c>
      <c r="D7" s="32">
        <f>DATA!C8-D9</f>
        <v>-2615.1</v>
      </c>
      <c r="E7" s="32">
        <f>DATA!D8-E9</f>
        <v>-3201</v>
      </c>
      <c r="F7" s="118">
        <f>F21*F4</f>
        <v>-3301.5777031130083</v>
      </c>
      <c r="G7" s="32">
        <f t="shared" ref="G7:J7" si="4">G21*G4</f>
        <v>-3677.2972457272685</v>
      </c>
      <c r="H7" s="32">
        <f t="shared" si="4"/>
        <v>-4095.7736722910313</v>
      </c>
      <c r="I7" s="32">
        <f t="shared" si="4"/>
        <v>-4561.8727161977504</v>
      </c>
      <c r="J7" s="106">
        <f t="shared" si="4"/>
        <v>-5081.0138313010548</v>
      </c>
    </row>
    <row r="8" spans="2:10" x14ac:dyDescent="0.25">
      <c r="B8" s="33" t="s">
        <v>26</v>
      </c>
      <c r="C8" s="5">
        <f>SUM(C6:C7)</f>
        <v>2742.5000000000009</v>
      </c>
      <c r="D8" s="5">
        <f>SUM(D6:D7)</f>
        <v>3242.0999999999972</v>
      </c>
      <c r="E8" s="5">
        <f>SUM(E6:E7)</f>
        <v>3879.5</v>
      </c>
      <c r="F8" s="5">
        <f t="shared" ref="F8:J8" si="5">SUM(F6:F7)</f>
        <v>4054.320690616566</v>
      </c>
      <c r="G8" s="5">
        <f t="shared" si="5"/>
        <v>4515.7023852087314</v>
      </c>
      <c r="H8" s="5">
        <f t="shared" si="5"/>
        <v>5029.5893166454834</v>
      </c>
      <c r="I8" s="5">
        <f t="shared" si="5"/>
        <v>5601.9565808797388</v>
      </c>
      <c r="J8" s="107">
        <f t="shared" si="5"/>
        <v>6239.4592397838524</v>
      </c>
    </row>
    <row r="9" spans="2:10" x14ac:dyDescent="0.25">
      <c r="B9" s="21" t="s">
        <v>27</v>
      </c>
      <c r="C9" s="32">
        <f>-DATA!B26</f>
        <v>-323.60000000000002</v>
      </c>
      <c r="D9" s="32">
        <f>-DATA!C26</f>
        <v>-348.1</v>
      </c>
      <c r="E9" s="32">
        <f>-DATA!D26</f>
        <v>-379.4</v>
      </c>
      <c r="F9" s="118">
        <f>'FIXED ASSETS '!F5</f>
        <v>-387.45498652948407</v>
      </c>
      <c r="G9" s="32">
        <f>'FIXED ASSETS '!G5</f>
        <v>-408.56524073659455</v>
      </c>
      <c r="H9" s="32">
        <f>'FIXED ASSETS '!H5</f>
        <v>-421.67876468020575</v>
      </c>
      <c r="I9" s="32">
        <f>'FIXED ASSETS '!I5</f>
        <v>-433.83950668541308</v>
      </c>
      <c r="J9" s="106">
        <f>'FIXED ASSETS '!J5</f>
        <v>-445.11669249398153</v>
      </c>
    </row>
    <row r="10" spans="2:10" x14ac:dyDescent="0.25">
      <c r="B10" s="33" t="s">
        <v>28</v>
      </c>
      <c r="C10" s="5">
        <f>SUM(C8:C9)</f>
        <v>2418.900000000001</v>
      </c>
      <c r="D10" s="5">
        <f>SUM(D8:D9)</f>
        <v>2893.9999999999973</v>
      </c>
      <c r="E10" s="5">
        <f>SUM(E8:E9)</f>
        <v>3500.1</v>
      </c>
      <c r="F10" s="5">
        <f t="shared" ref="F10:J10" si="6">SUM(F8:F9)</f>
        <v>3666.8657040870821</v>
      </c>
      <c r="G10" s="5">
        <f t="shared" si="6"/>
        <v>4107.1371444721372</v>
      </c>
      <c r="H10" s="5">
        <f t="shared" si="6"/>
        <v>4607.9105519652776</v>
      </c>
      <c r="I10" s="5">
        <f t="shared" si="6"/>
        <v>5168.1170741943261</v>
      </c>
      <c r="J10" s="107">
        <f t="shared" si="6"/>
        <v>5794.3425472898707</v>
      </c>
    </row>
    <row r="11" spans="2:10" x14ac:dyDescent="0.25">
      <c r="B11" s="21" t="s">
        <v>29</v>
      </c>
      <c r="C11" s="32">
        <f>SUM(DATA!B10,DATA!B11)</f>
        <v>-246.8</v>
      </c>
      <c r="D11" s="32">
        <f>SUM(DATA!C10,DATA!C11)</f>
        <v>-326.7</v>
      </c>
      <c r="E11" s="32">
        <f>SUM(DATA!D10,DATA!D11)</f>
        <v>-258.3</v>
      </c>
      <c r="F11" s="121">
        <f>'FINANCIAL LIABILITIES'!D24</f>
        <v>-238.51500000000001</v>
      </c>
      <c r="G11" s="121">
        <f>'FINANCIAL LIABILITIES'!E24</f>
        <v>-233.51752464727426</v>
      </c>
      <c r="H11" s="121">
        <f>'FINANCIAL LIABILITIES'!F24</f>
        <v>-228.2701755269122</v>
      </c>
      <c r="I11" s="121">
        <f>'FINANCIAL LIABILITIES'!G24</f>
        <v>-222.76045895053204</v>
      </c>
      <c r="J11" s="251">
        <f>'FINANCIAL LIABILITIES'!H24</f>
        <v>-216.97525654533288</v>
      </c>
    </row>
    <row r="12" spans="2:10" x14ac:dyDescent="0.25">
      <c r="B12" s="33" t="s">
        <v>30</v>
      </c>
      <c r="C12" s="5">
        <f>SUM(C10:C11)</f>
        <v>2172.1000000000008</v>
      </c>
      <c r="D12" s="5">
        <f>SUM(D10:D11)</f>
        <v>2567.2999999999975</v>
      </c>
      <c r="E12" s="5">
        <f>SUM(E10:E11)</f>
        <v>3241.7999999999997</v>
      </c>
      <c r="F12" s="5">
        <f t="shared" ref="F12:J12" si="7">SUM(F10:F11)</f>
        <v>3428.3507040870822</v>
      </c>
      <c r="G12" s="5">
        <f t="shared" si="7"/>
        <v>3873.6196198248631</v>
      </c>
      <c r="H12" s="5">
        <f t="shared" si="7"/>
        <v>4379.6403764383658</v>
      </c>
      <c r="I12" s="5">
        <f t="shared" si="7"/>
        <v>4945.3566152437943</v>
      </c>
      <c r="J12" s="107">
        <f t="shared" si="7"/>
        <v>5577.367290744538</v>
      </c>
    </row>
    <row r="13" spans="2:10" x14ac:dyDescent="0.25">
      <c r="B13" s="21" t="s">
        <v>31</v>
      </c>
      <c r="C13" s="32">
        <f>-C23*C12</f>
        <v>-412.69900000000018</v>
      </c>
      <c r="D13" s="32">
        <f t="shared" ref="D13:E13" si="8">-D23*D12</f>
        <v>-487.78699999999952</v>
      </c>
      <c r="E13" s="32">
        <f t="shared" si="8"/>
        <v>-615.94200000000001</v>
      </c>
      <c r="F13" s="118">
        <f>-F23*F12</f>
        <v>-651.38663377654564</v>
      </c>
      <c r="G13" s="32">
        <f>-G23*G12</f>
        <v>-735.98772776672399</v>
      </c>
      <c r="H13" s="32">
        <f>-H23*H12</f>
        <v>-832.13167152328947</v>
      </c>
      <c r="I13" s="32">
        <f>-I23*I12</f>
        <v>-939.61775689632088</v>
      </c>
      <c r="J13" s="106">
        <f>-J23*J12</f>
        <v>-1059.6997852414622</v>
      </c>
    </row>
    <row r="14" spans="2:10" ht="15.75" thickBot="1" x14ac:dyDescent="0.3">
      <c r="B14" s="26" t="s">
        <v>32</v>
      </c>
      <c r="C14" s="7">
        <f>SUM(C12:C13)</f>
        <v>1759.4010000000007</v>
      </c>
      <c r="D14" s="7">
        <f>SUM(D12:D13)</f>
        <v>2079.5129999999981</v>
      </c>
      <c r="E14" s="7">
        <f>SUM(E12:E13)</f>
        <v>2625.8579999999997</v>
      </c>
      <c r="F14" s="7">
        <f t="shared" ref="F14:J14" si="9">SUM(F12:F13)</f>
        <v>2776.9640703105365</v>
      </c>
      <c r="G14" s="7">
        <f t="shared" si="9"/>
        <v>3137.6318920581389</v>
      </c>
      <c r="H14" s="7">
        <f t="shared" si="9"/>
        <v>3547.5087049150761</v>
      </c>
      <c r="I14" s="7">
        <f t="shared" si="9"/>
        <v>4005.7388583474735</v>
      </c>
      <c r="J14" s="108">
        <f t="shared" si="9"/>
        <v>4517.6675055030755</v>
      </c>
    </row>
    <row r="15" spans="2:10" ht="15.75" thickBot="1" x14ac:dyDescent="0.3">
      <c r="B15" s="116"/>
      <c r="C15" s="104"/>
      <c r="D15" s="104"/>
      <c r="E15" s="104"/>
      <c r="F15" s="104"/>
      <c r="G15" s="104"/>
      <c r="H15" s="104"/>
      <c r="I15" s="104"/>
      <c r="J15" s="117"/>
    </row>
    <row r="16" spans="2:10" ht="15.75" thickBot="1" x14ac:dyDescent="0.3">
      <c r="B16" s="109" t="s">
        <v>33</v>
      </c>
      <c r="C16" s="111"/>
      <c r="D16" s="112"/>
      <c r="E16" s="112"/>
      <c r="F16" s="112"/>
      <c r="G16" s="112"/>
      <c r="H16" s="112"/>
      <c r="I16" s="112"/>
      <c r="J16" s="113"/>
    </row>
    <row r="17" spans="2:10" ht="15.75" thickBot="1" x14ac:dyDescent="0.3">
      <c r="B17" s="110" t="s">
        <v>34</v>
      </c>
      <c r="C17" s="145"/>
      <c r="D17" s="146">
        <f>((D4/C4)-1)*100%</f>
        <v>0.1054234384086743</v>
      </c>
      <c r="E17" s="146">
        <f>((E4/D4)-1)*100%</f>
        <v>0.12222247363895566</v>
      </c>
      <c r="F17" s="146">
        <f>AVERAGE(D17:E17)</f>
        <v>0.11382295602381498</v>
      </c>
      <c r="G17" s="146">
        <f>11.38%</f>
        <v>0.11380000000000001</v>
      </c>
      <c r="H17" s="146">
        <f t="shared" ref="H17:J17" si="10">11.38%</f>
        <v>0.11380000000000001</v>
      </c>
      <c r="I17" s="146">
        <f t="shared" si="10"/>
        <v>0.11380000000000001</v>
      </c>
      <c r="J17" s="147">
        <f t="shared" si="10"/>
        <v>0.11380000000000001</v>
      </c>
    </row>
    <row r="18" spans="2:10" ht="15.75" thickBot="1" x14ac:dyDescent="0.3">
      <c r="B18" s="109" t="s">
        <v>35</v>
      </c>
      <c r="C18" s="114"/>
      <c r="D18" s="35"/>
      <c r="E18" s="35"/>
      <c r="F18" s="35"/>
      <c r="G18" s="35"/>
      <c r="H18" s="35"/>
      <c r="I18" s="35"/>
      <c r="J18" s="115"/>
    </row>
    <row r="19" spans="2:10" ht="15.75" thickBot="1" x14ac:dyDescent="0.3">
      <c r="B19" s="110" t="s">
        <v>34</v>
      </c>
      <c r="C19" s="145">
        <f>C5/C4</f>
        <v>-0.68953894832944584</v>
      </c>
      <c r="D19" s="146">
        <f>D5/D4</f>
        <v>-0.66866542969633902</v>
      </c>
      <c r="E19" s="146">
        <f>E5/E4</f>
        <v>-0.64308757851014708</v>
      </c>
      <c r="F19" s="146">
        <f>AVERAGE(C19:E19)</f>
        <v>-0.66709731884531065</v>
      </c>
      <c r="G19" s="146">
        <f>F19</f>
        <v>-0.66709731884531065</v>
      </c>
      <c r="H19" s="146">
        <f t="shared" ref="H19:J19" si="11">G19</f>
        <v>-0.66709731884531065</v>
      </c>
      <c r="I19" s="146">
        <f t="shared" si="11"/>
        <v>-0.66709731884531065</v>
      </c>
      <c r="J19" s="147">
        <f t="shared" si="11"/>
        <v>-0.66709731884531065</v>
      </c>
    </row>
    <row r="20" spans="2:10" ht="15.75" thickBot="1" x14ac:dyDescent="0.3">
      <c r="B20" s="109" t="s">
        <v>113</v>
      </c>
      <c r="C20" s="114"/>
      <c r="D20" s="35"/>
      <c r="E20" s="35"/>
      <c r="F20" s="35"/>
      <c r="G20" s="35"/>
      <c r="H20" s="35"/>
      <c r="I20" s="35"/>
      <c r="J20" s="115"/>
    </row>
    <row r="21" spans="2:10" ht="15.75" thickBot="1" x14ac:dyDescent="0.3">
      <c r="B21" s="110" t="s">
        <v>34</v>
      </c>
      <c r="C21" s="145">
        <f>C7/C4</f>
        <v>-0.13896583852873678</v>
      </c>
      <c r="D21" s="146">
        <f>D7/D4</f>
        <v>-0.14793297732723901</v>
      </c>
      <c r="E21" s="146">
        <f>E7/E4</f>
        <v>-0.16135536490205765</v>
      </c>
      <c r="F21" s="146">
        <f>AVERAGE(C21:E21)</f>
        <v>-0.14941806025267781</v>
      </c>
      <c r="G21" s="146">
        <f>F21</f>
        <v>-0.14941806025267781</v>
      </c>
      <c r="H21" s="146">
        <f t="shared" ref="H21:J21" si="12">G21</f>
        <v>-0.14941806025267781</v>
      </c>
      <c r="I21" s="146">
        <f t="shared" si="12"/>
        <v>-0.14941806025267781</v>
      </c>
      <c r="J21" s="147">
        <f t="shared" si="12"/>
        <v>-0.14941806025267781</v>
      </c>
    </row>
    <row r="22" spans="2:10" x14ac:dyDescent="0.25">
      <c r="B22" s="34"/>
      <c r="C22" s="114"/>
      <c r="D22" s="35"/>
      <c r="E22" s="35"/>
      <c r="F22" s="35"/>
      <c r="G22" s="35"/>
      <c r="H22" s="35"/>
      <c r="I22" s="35"/>
      <c r="J22" s="115"/>
    </row>
    <row r="23" spans="2:10" ht="15.75" thickBot="1" x14ac:dyDescent="0.3">
      <c r="B23" s="36" t="s">
        <v>31</v>
      </c>
      <c r="C23" s="148">
        <v>0.19</v>
      </c>
      <c r="D23" s="149">
        <v>0.19</v>
      </c>
      <c r="E23" s="149">
        <v>0.19</v>
      </c>
      <c r="F23" s="149">
        <v>0.19</v>
      </c>
      <c r="G23" s="149">
        <v>0.19</v>
      </c>
      <c r="H23" s="149">
        <v>0.19</v>
      </c>
      <c r="I23" s="149">
        <v>0.19</v>
      </c>
      <c r="J23" s="150">
        <v>0.19</v>
      </c>
    </row>
  </sheetData>
  <pageMargins left="0.7" right="0.7" top="0.75" bottom="0.75" header="0.3" footer="0.3"/>
  <pageSetup orientation="portrait" r:id="rId1"/>
  <ignoredErrors>
    <ignoredError sqref="C5:E5" formulaRange="1"/>
    <ignoredError sqref="C7:J7 C9:D9 C13 E9:G9 C11:E11 F12:J13 H9:J9 D13:E1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30D0-1926-411D-8456-DDFCF8735548}">
  <dimension ref="A1:N14"/>
  <sheetViews>
    <sheetView workbookViewId="0">
      <selection activeCell="D13" sqref="D13"/>
    </sheetView>
  </sheetViews>
  <sheetFormatPr defaultRowHeight="15" x14ac:dyDescent="0.25"/>
  <cols>
    <col min="1" max="1" width="11.140625" customWidth="1"/>
    <col min="2" max="2" width="41.5703125" customWidth="1"/>
    <col min="3" max="3" width="13.28515625" customWidth="1"/>
    <col min="4" max="4" width="11" customWidth="1"/>
    <col min="5" max="5" width="12.42578125" customWidth="1"/>
    <col min="6" max="6" width="11" customWidth="1"/>
    <col min="7" max="8" width="12.42578125" customWidth="1"/>
    <col min="9" max="9" width="10.7109375" customWidth="1"/>
    <col min="10" max="10" width="10.28515625" customWidth="1"/>
  </cols>
  <sheetData>
    <row r="1" spans="1:14" ht="18.75" thickBot="1" x14ac:dyDescent="0.3">
      <c r="A1" s="15"/>
      <c r="B1" s="3"/>
      <c r="C1" s="3"/>
      <c r="D1" s="3"/>
      <c r="E1" s="3"/>
      <c r="F1" s="3"/>
      <c r="G1" s="3"/>
      <c r="H1" s="3"/>
      <c r="I1" s="3"/>
      <c r="J1" s="3"/>
    </row>
    <row r="2" spans="1:14" ht="19.5" thickBot="1" x14ac:dyDescent="0.35">
      <c r="B2" s="87" t="s">
        <v>79</v>
      </c>
      <c r="C2" s="88"/>
      <c r="D2" s="89"/>
      <c r="E2" s="90"/>
      <c r="F2" s="91" t="s">
        <v>20</v>
      </c>
      <c r="G2" s="92"/>
      <c r="H2" s="92"/>
      <c r="I2" s="92"/>
      <c r="J2" s="93"/>
    </row>
    <row r="3" spans="1:14" ht="15.75" thickBot="1" x14ac:dyDescent="0.3">
      <c r="B3" s="86" t="s">
        <v>145</v>
      </c>
      <c r="C3" s="9">
        <v>44926</v>
      </c>
      <c r="D3" s="9">
        <v>45291</v>
      </c>
      <c r="E3" s="9">
        <v>45657</v>
      </c>
      <c r="F3" s="9">
        <v>42369</v>
      </c>
      <c r="G3" s="9">
        <v>46387</v>
      </c>
      <c r="H3" s="9">
        <v>46752</v>
      </c>
      <c r="I3" s="9">
        <v>47118</v>
      </c>
      <c r="J3" s="23">
        <v>47483</v>
      </c>
    </row>
    <row r="4" spans="1:14" x14ac:dyDescent="0.25">
      <c r="B4" s="134" t="s">
        <v>149</v>
      </c>
      <c r="C4" s="17"/>
      <c r="D4" s="18">
        <f>C7</f>
        <v>4800.1000000000004</v>
      </c>
      <c r="E4" s="18">
        <f>D7</f>
        <v>5212</v>
      </c>
      <c r="F4" s="18">
        <f t="shared" ref="F4:J4" si="0">E7</f>
        <v>5332.7</v>
      </c>
      <c r="G4" s="18">
        <f t="shared" si="0"/>
        <v>5623.2489838151596</v>
      </c>
      <c r="H4" s="18">
        <f t="shared" si="0"/>
        <v>5803.7357282508874</v>
      </c>
      <c r="I4" s="18">
        <f t="shared" si="0"/>
        <v>5971.1089487430036</v>
      </c>
      <c r="J4" s="24">
        <f t="shared" si="0"/>
        <v>6126.3214272299119</v>
      </c>
      <c r="K4" s="12"/>
      <c r="L4" s="12"/>
      <c r="M4" s="12"/>
      <c r="N4" s="12"/>
    </row>
    <row r="5" spans="1:14" x14ac:dyDescent="0.25">
      <c r="B5" s="29" t="s">
        <v>27</v>
      </c>
      <c r="C5" s="31"/>
      <c r="D5" s="19">
        <f>-DATA!C26</f>
        <v>-348.1</v>
      </c>
      <c r="E5" s="19">
        <f>-DATA!D26</f>
        <v>-379.4</v>
      </c>
      <c r="F5" s="19">
        <f>F9*F4</f>
        <v>-387.45498652948407</v>
      </c>
      <c r="G5" s="20">
        <f>G9*G4</f>
        <v>-408.56524073659455</v>
      </c>
      <c r="H5" s="20">
        <f>H9*H4</f>
        <v>-421.67876468020575</v>
      </c>
      <c r="I5" s="20">
        <f>I9*I4</f>
        <v>-433.83950668541308</v>
      </c>
      <c r="J5" s="25">
        <f>J9*J4</f>
        <v>-445.11669249398153</v>
      </c>
    </row>
    <row r="6" spans="1:14" ht="15.75" thickBot="1" x14ac:dyDescent="0.3">
      <c r="B6" s="29" t="s">
        <v>150</v>
      </c>
      <c r="C6" s="17"/>
      <c r="D6" s="19">
        <f>D7-D4-D5</f>
        <v>759.99999999999966</v>
      </c>
      <c r="E6" s="19">
        <f>E7-E4-E5</f>
        <v>500.0999999999998</v>
      </c>
      <c r="F6" s="19">
        <f>F10*F4</f>
        <v>678.00397034464322</v>
      </c>
      <c r="G6" s="20">
        <f>AVERAGE($E$6:$F$6)</f>
        <v>589.05198517232157</v>
      </c>
      <c r="H6" s="20">
        <f>AVERAGE($E$6:$F$6)</f>
        <v>589.05198517232157</v>
      </c>
      <c r="I6" s="20">
        <f>AVERAGE($E$6:$F$6)</f>
        <v>589.05198517232157</v>
      </c>
      <c r="J6" s="25">
        <f>AVERAGE($E$6:$F$6)</f>
        <v>589.05198517232157</v>
      </c>
    </row>
    <row r="7" spans="1:14" ht="15.75" thickBot="1" x14ac:dyDescent="0.3">
      <c r="B7" s="134" t="s">
        <v>148</v>
      </c>
      <c r="C7" s="102">
        <f>DATA!B74+DATA!B76</f>
        <v>4800.1000000000004</v>
      </c>
      <c r="D7" s="102">
        <f>DATA!C74+DATA!C76</f>
        <v>5212</v>
      </c>
      <c r="E7" s="102">
        <f>DATA!D74+DATA!D76</f>
        <v>5332.7</v>
      </c>
      <c r="F7" s="101">
        <f t="shared" ref="F7:J7" si="1">SUM(F4:F6)</f>
        <v>5623.2489838151596</v>
      </c>
      <c r="G7" s="101">
        <f t="shared" si="1"/>
        <v>5803.7357282508874</v>
      </c>
      <c r="H7" s="101">
        <f t="shared" si="1"/>
        <v>5971.1089487430036</v>
      </c>
      <c r="I7" s="101">
        <f t="shared" si="1"/>
        <v>6126.3214272299119</v>
      </c>
      <c r="J7" s="101">
        <f t="shared" si="1"/>
        <v>6270.2567199082514</v>
      </c>
    </row>
    <row r="8" spans="1:14" ht="15.75" thickBot="1" x14ac:dyDescent="0.3">
      <c r="B8" s="30"/>
      <c r="C8" s="16"/>
      <c r="D8" s="16"/>
      <c r="E8" s="16"/>
      <c r="F8" s="16"/>
      <c r="G8" s="16"/>
      <c r="H8" s="16"/>
      <c r="I8" s="16"/>
      <c r="J8" s="27"/>
    </row>
    <row r="9" spans="1:14" x14ac:dyDescent="0.25">
      <c r="B9" s="133" t="s">
        <v>80</v>
      </c>
      <c r="C9" s="96"/>
      <c r="D9" s="97">
        <f>D5/D4</f>
        <v>-7.251932251411429E-2</v>
      </c>
      <c r="E9" s="97">
        <f>E5/E4</f>
        <v>-7.2793553338449724E-2</v>
      </c>
      <c r="F9" s="97">
        <f>AVERAGE(D9:E9)</f>
        <v>-7.2656437926282014E-2</v>
      </c>
      <c r="G9" s="97">
        <f>F9</f>
        <v>-7.2656437926282014E-2</v>
      </c>
      <c r="H9" s="97">
        <f t="shared" ref="H9:J9" si="2">G9</f>
        <v>-7.2656437926282014E-2</v>
      </c>
      <c r="I9" s="97">
        <f t="shared" si="2"/>
        <v>-7.2656437926282014E-2</v>
      </c>
      <c r="J9" s="98">
        <f t="shared" si="2"/>
        <v>-7.2656437926282014E-2</v>
      </c>
    </row>
    <row r="10" spans="1:14" ht="15.75" thickBot="1" x14ac:dyDescent="0.3">
      <c r="B10" s="132" t="s">
        <v>151</v>
      </c>
      <c r="C10" s="99"/>
      <c r="D10" s="80">
        <f>D6/D4</f>
        <v>0.15833003479094176</v>
      </c>
      <c r="E10" s="80">
        <f>E6/E4</f>
        <v>9.5951650038372943E-2</v>
      </c>
      <c r="F10" s="80">
        <f>AVERAGE(D10:E10)</f>
        <v>0.12714084241465734</v>
      </c>
      <c r="G10" s="80">
        <f>F10</f>
        <v>0.12714084241465734</v>
      </c>
      <c r="H10" s="80">
        <f>G10</f>
        <v>0.12714084241465734</v>
      </c>
      <c r="I10" s="80">
        <f>H10</f>
        <v>0.12714084241465734</v>
      </c>
      <c r="J10" s="100">
        <f>I10</f>
        <v>0.12714084241465734</v>
      </c>
    </row>
    <row r="11" spans="1:14" x14ac:dyDescent="0.25">
      <c r="J11" s="3"/>
    </row>
    <row r="13" spans="1:14" x14ac:dyDescent="0.25">
      <c r="D13" s="131"/>
    </row>
    <row r="14" spans="1:14" x14ac:dyDescent="0.25">
      <c r="C14" s="131"/>
      <c r="D14" s="1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5E32-3674-4F64-937C-CF724170E60F}">
  <dimension ref="A1:N26"/>
  <sheetViews>
    <sheetView workbookViewId="0">
      <selection activeCell="E8" sqref="E8"/>
    </sheetView>
  </sheetViews>
  <sheetFormatPr defaultRowHeight="15" x14ac:dyDescent="0.25"/>
  <cols>
    <col min="2" max="2" width="27.85546875" customWidth="1"/>
    <col min="3" max="3" width="15.7109375" customWidth="1"/>
    <col min="4" max="4" width="13.140625" customWidth="1"/>
    <col min="5" max="5" width="13.7109375" customWidth="1"/>
    <col min="6" max="6" width="12" customWidth="1"/>
    <col min="7" max="7" width="12.42578125" customWidth="1"/>
    <col min="8" max="8" width="12.7109375" customWidth="1"/>
    <col min="9" max="9" width="11.7109375" customWidth="1"/>
    <col min="10" max="10" width="12.7109375" customWidth="1"/>
    <col min="13" max="13" width="9.5703125" bestFit="1" customWidth="1"/>
    <col min="14" max="14" width="10.5703125" bestFit="1" customWidth="1"/>
  </cols>
  <sheetData>
    <row r="1" spans="1:14" ht="15.75" thickBot="1" x14ac:dyDescent="0.3">
      <c r="A1" s="37"/>
      <c r="B1" s="37"/>
      <c r="C1" s="85"/>
      <c r="D1" s="37"/>
      <c r="E1" s="37"/>
      <c r="F1" s="3"/>
      <c r="G1" s="3"/>
      <c r="H1" s="3"/>
      <c r="I1" s="3"/>
      <c r="J1" s="3"/>
      <c r="K1" s="3"/>
    </row>
    <row r="2" spans="1:14" ht="21.75" thickBot="1" x14ac:dyDescent="0.4">
      <c r="A2" s="37"/>
      <c r="B2" s="125" t="s">
        <v>81</v>
      </c>
      <c r="C2" s="123"/>
      <c r="D2" s="123"/>
      <c r="E2" s="124"/>
      <c r="F2" s="252" t="s">
        <v>20</v>
      </c>
      <c r="G2" s="252"/>
      <c r="H2" s="252"/>
      <c r="I2" s="252"/>
      <c r="J2" s="253"/>
      <c r="K2" s="3"/>
    </row>
    <row r="3" spans="1:14" ht="15.75" thickBot="1" x14ac:dyDescent="0.3">
      <c r="A3" s="37"/>
      <c r="B3" s="127" t="s">
        <v>21</v>
      </c>
      <c r="C3" s="128">
        <v>44926</v>
      </c>
      <c r="D3" s="128">
        <v>45291</v>
      </c>
      <c r="E3" s="128">
        <v>45657</v>
      </c>
      <c r="F3" s="129">
        <v>46022</v>
      </c>
      <c r="G3" s="129">
        <v>46387</v>
      </c>
      <c r="H3" s="129">
        <v>46752</v>
      </c>
      <c r="I3" s="129">
        <v>47118</v>
      </c>
      <c r="J3" s="130">
        <v>47483</v>
      </c>
      <c r="K3" s="3"/>
    </row>
    <row r="4" spans="1:14" x14ac:dyDescent="0.25">
      <c r="A4" s="37"/>
      <c r="B4" s="21" t="s">
        <v>114</v>
      </c>
      <c r="C4" s="19">
        <f>DATA!B70</f>
        <v>2780.1</v>
      </c>
      <c r="D4" s="19">
        <f>DATA!C70</f>
        <v>2956.8</v>
      </c>
      <c r="E4" s="19">
        <f>DATA!D70</f>
        <v>3090.2</v>
      </c>
      <c r="F4" s="19">
        <f>'P&amp;L'!F4*F18/360</f>
        <v>3659.7206525494175</v>
      </c>
      <c r="G4" s="19">
        <f>'P&amp;L'!G4*G18/360</f>
        <v>4076.196862809541</v>
      </c>
      <c r="H4" s="19">
        <f>'P&amp;L'!H4*H18/360</f>
        <v>4540.0680657972662</v>
      </c>
      <c r="I4" s="19">
        <f>'P&amp;L'!I4*I18/360</f>
        <v>5056.7278116849957</v>
      </c>
      <c r="J4" s="73">
        <f>'P&amp;L'!J4*J18/360</f>
        <v>5632.1834366547482</v>
      </c>
      <c r="K4" s="3"/>
    </row>
    <row r="5" spans="1:14" ht="15.75" x14ac:dyDescent="0.25">
      <c r="A5" s="126"/>
      <c r="B5" s="21" t="s">
        <v>115</v>
      </c>
      <c r="C5" s="19">
        <f>DATA!B71</f>
        <v>1993.8</v>
      </c>
      <c r="D5" s="19">
        <f>DATA!C71</f>
        <v>2152.1</v>
      </c>
      <c r="E5" s="19">
        <f>DATA!D71</f>
        <v>1971.5</v>
      </c>
      <c r="F5" s="19">
        <f>-F19*'P&amp;L'!F5/360</f>
        <v>2542.2823823966742</v>
      </c>
      <c r="G5" s="19">
        <f>-G19*'P&amp;L'!G5/360</f>
        <v>2831.5941175134158</v>
      </c>
      <c r="H5" s="19">
        <f>-H19*'P&amp;L'!H5/360</f>
        <v>3153.8295280864422</v>
      </c>
      <c r="I5" s="19">
        <f>-I19*'P&amp;L'!I5/360</f>
        <v>3512.7353283826797</v>
      </c>
      <c r="J5" s="73">
        <f>-J19*'P&amp;L'!J5/360</f>
        <v>3912.4846087526284</v>
      </c>
      <c r="K5" s="3"/>
      <c r="M5" s="2"/>
    </row>
    <row r="6" spans="1:14" x14ac:dyDescent="0.25">
      <c r="A6" s="37"/>
      <c r="B6" s="21" t="s">
        <v>152</v>
      </c>
      <c r="C6" s="19">
        <f>'FIXED ASSETS '!C7</f>
        <v>4800.1000000000004</v>
      </c>
      <c r="D6" s="19">
        <f>'FIXED ASSETS '!D7</f>
        <v>5212</v>
      </c>
      <c r="E6" s="19">
        <f>'FIXED ASSETS '!E7</f>
        <v>5332.7</v>
      </c>
      <c r="F6" s="19">
        <f>'FIXED ASSETS '!F7</f>
        <v>5623.2489838151596</v>
      </c>
      <c r="G6" s="19">
        <f>'FIXED ASSETS '!G7</f>
        <v>5803.7357282508874</v>
      </c>
      <c r="H6" s="19">
        <f>'FIXED ASSETS '!H7</f>
        <v>5971.1089487430036</v>
      </c>
      <c r="I6" s="19">
        <f>'FIXED ASSETS '!I7</f>
        <v>6126.3214272299119</v>
      </c>
      <c r="J6" s="73">
        <f>'FIXED ASSETS '!J7</f>
        <v>6270.2567199082514</v>
      </c>
      <c r="K6" s="3"/>
    </row>
    <row r="7" spans="1:14" x14ac:dyDescent="0.25">
      <c r="A7" s="37"/>
      <c r="B7" s="21" t="s">
        <v>89</v>
      </c>
      <c r="C7" s="19">
        <f>DATA!B75</f>
        <v>5503.7</v>
      </c>
      <c r="D7" s="19">
        <f>DATA!C75</f>
        <v>6095.3</v>
      </c>
      <c r="E7" s="19">
        <f>DATA!D75</f>
        <v>6127.9</v>
      </c>
      <c r="F7" s="19">
        <f>E7</f>
        <v>6127.9</v>
      </c>
      <c r="G7" s="19">
        <f t="shared" ref="G7:J7" si="0">F7</f>
        <v>6127.9</v>
      </c>
      <c r="H7" s="19">
        <f t="shared" si="0"/>
        <v>6127.9</v>
      </c>
      <c r="I7" s="19">
        <f t="shared" si="0"/>
        <v>6127.9</v>
      </c>
      <c r="J7" s="73">
        <f t="shared" si="0"/>
        <v>6127.9</v>
      </c>
      <c r="K7" s="16"/>
    </row>
    <row r="8" spans="1:14" x14ac:dyDescent="0.25">
      <c r="A8" s="37"/>
      <c r="B8" s="21" t="s">
        <v>116</v>
      </c>
      <c r="C8" s="19">
        <f>DATA!B69</f>
        <v>1220.5</v>
      </c>
      <c r="D8" s="19">
        <f>DATA!C69</f>
        <v>1095.3</v>
      </c>
      <c r="E8" s="19">
        <f>DATA!D69</f>
        <v>1590.1</v>
      </c>
      <c r="F8" s="170">
        <f>E8+'CASH FLOW'!C19</f>
        <v>2866.6902011749685</v>
      </c>
      <c r="G8" s="170">
        <f>F8+'CASH FLOW'!D19</f>
        <v>4771.4155093809886</v>
      </c>
      <c r="H8" s="170">
        <f>G8+'CASH FLOW'!E19</f>
        <v>6952.619019756351</v>
      </c>
      <c r="I8" s="170">
        <f>H8+'CASH FLOW'!F19</f>
        <v>9439.7599365249098</v>
      </c>
      <c r="J8" s="171">
        <f>I8+'CASH FLOW'!G19</f>
        <v>12265.658546243392</v>
      </c>
      <c r="K8" s="38"/>
    </row>
    <row r="9" spans="1:14" x14ac:dyDescent="0.25">
      <c r="A9" s="37"/>
      <c r="B9" s="21" t="s">
        <v>117</v>
      </c>
      <c r="C9" s="19">
        <f>SUM(DATA!B77,DATA!B72)</f>
        <v>1783.3999999999999</v>
      </c>
      <c r="D9" s="19">
        <f>SUM(DATA!C77,DATA!C72)</f>
        <v>1880.4</v>
      </c>
      <c r="E9" s="19">
        <f>SUM(DATA!D77,DATA!D72)</f>
        <v>2034.3</v>
      </c>
      <c r="F9" s="19">
        <f>F21*'P&amp;L'!F4</f>
        <v>2360.1500668499507</v>
      </c>
      <c r="G9" s="19">
        <f>G21*'P&amp;L'!G4</f>
        <v>2628.7351444574751</v>
      </c>
      <c r="H9" s="19">
        <f>H21*'P&amp;L'!H4</f>
        <v>2927.8852038967357</v>
      </c>
      <c r="I9" s="19">
        <f>I21*'P&amp;L'!I4</f>
        <v>3261.078540100184</v>
      </c>
      <c r="J9" s="73">
        <f>J21*'P&amp;L'!J4</f>
        <v>3632.189277963585</v>
      </c>
      <c r="K9" s="3"/>
    </row>
    <row r="10" spans="1:14" ht="15.75" thickBot="1" x14ac:dyDescent="0.3">
      <c r="A10" s="37"/>
      <c r="B10" s="26" t="s">
        <v>118</v>
      </c>
      <c r="C10" s="39">
        <f t="shared" ref="C10:J10" si="1">SUM(C4:C9)</f>
        <v>18081.600000000002</v>
      </c>
      <c r="D10" s="39">
        <f t="shared" si="1"/>
        <v>19391.900000000001</v>
      </c>
      <c r="E10" s="39">
        <f t="shared" si="1"/>
        <v>20146.699999999997</v>
      </c>
      <c r="F10" s="39">
        <f t="shared" si="1"/>
        <v>23179.992286786171</v>
      </c>
      <c r="G10" s="39">
        <f t="shared" si="1"/>
        <v>26239.57736241231</v>
      </c>
      <c r="H10" s="39">
        <f t="shared" si="1"/>
        <v>29673.410766279798</v>
      </c>
      <c r="I10" s="39">
        <f t="shared" si="1"/>
        <v>33524.52304392268</v>
      </c>
      <c r="J10" s="74">
        <f t="shared" si="1"/>
        <v>37840.672589522605</v>
      </c>
      <c r="K10" s="3"/>
    </row>
    <row r="11" spans="1:14" x14ac:dyDescent="0.25">
      <c r="A11" s="37"/>
      <c r="B11" s="21" t="s">
        <v>119</v>
      </c>
      <c r="C11" s="19">
        <f>DATA!B79</f>
        <v>2091.6</v>
      </c>
      <c r="D11" s="19">
        <f>DATA!C79</f>
        <v>2025.2</v>
      </c>
      <c r="E11" s="19">
        <f>DATA!D79</f>
        <v>2148</v>
      </c>
      <c r="F11" s="19">
        <f>-F20*'P&amp;L'!F5/360</f>
        <v>2601.0881238746538</v>
      </c>
      <c r="G11" s="19">
        <f>-G20*'P&amp;L'!G5/360</f>
        <v>2897.0919523715893</v>
      </c>
      <c r="H11" s="19">
        <f>-H20*'P&amp;L'!H5/360</f>
        <v>3226.7810165514761</v>
      </c>
      <c r="I11" s="19">
        <f>-I20*'P&amp;L'!I5/360</f>
        <v>3593.9886962350333</v>
      </c>
      <c r="J11" s="73">
        <f>-J20*'P&amp;L'!J5/360</f>
        <v>4002.9846098665807</v>
      </c>
      <c r="K11" s="3"/>
      <c r="M11" s="135"/>
      <c r="N11" s="131">
        <f>DATA!F80-M11</f>
        <v>0</v>
      </c>
    </row>
    <row r="12" spans="1:14" x14ac:dyDescent="0.25">
      <c r="A12" s="37"/>
      <c r="B12" s="21" t="s">
        <v>120</v>
      </c>
      <c r="C12" s="19">
        <f>SUM(DATA!B80,DATA!B81,DATA!B85,DATA!B86)</f>
        <v>3894.2999999999997</v>
      </c>
      <c r="D12" s="19">
        <f>SUM(DATA!C80,DATA!C81,DATA!C85,DATA!C86)</f>
        <v>4527</v>
      </c>
      <c r="E12" s="19">
        <f>SUM(DATA!D80,DATA!D81,DATA!D85,DATA!D86)</f>
        <v>4617.2000000000007</v>
      </c>
      <c r="F12" s="19">
        <f>E12</f>
        <v>4617.2000000000007</v>
      </c>
      <c r="G12" s="19">
        <f t="shared" ref="G12:J12" si="2">F12</f>
        <v>4617.2000000000007</v>
      </c>
      <c r="H12" s="19">
        <f t="shared" si="2"/>
        <v>4617.2000000000007</v>
      </c>
      <c r="I12" s="19">
        <f t="shared" si="2"/>
        <v>4617.2000000000007</v>
      </c>
      <c r="J12" s="73">
        <f t="shared" si="2"/>
        <v>4617.2000000000007</v>
      </c>
      <c r="K12" s="3"/>
    </row>
    <row r="13" spans="1:14" x14ac:dyDescent="0.25">
      <c r="A13" s="37"/>
      <c r="B13" s="21" t="s">
        <v>121</v>
      </c>
      <c r="C13" s="19">
        <f>SUM(DATA!B82,DATA!B84)</f>
        <v>4836.3</v>
      </c>
      <c r="D13" s="19">
        <f>SUM(DATA!C82,DATA!C84)</f>
        <v>4779.8</v>
      </c>
      <c r="E13" s="19">
        <f>SUM(DATA!D82,DATA!D84)</f>
        <v>4770.3</v>
      </c>
      <c r="F13" s="185">
        <f>'FINANCIAL LIABILITIES'!G13</f>
        <v>5147.3804929454845</v>
      </c>
      <c r="G13" s="185">
        <f>'FINANCIAL LIABILITIES'!H13</f>
        <v>5557.1715598327919</v>
      </c>
      <c r="H13" s="185">
        <f>'FINANCIAL LIABILITIES'!I13</f>
        <v>6002.6943842884684</v>
      </c>
      <c r="I13" s="185">
        <f>'FINANCIAL LIABILITIES'!J13</f>
        <v>6487.2597746133324</v>
      </c>
      <c r="J13" s="185">
        <f>'FINANCIAL LIABILITIES'!K13</f>
        <v>7014.4965015654834</v>
      </c>
      <c r="K13" s="21"/>
    </row>
    <row r="14" spans="1:14" x14ac:dyDescent="0.25">
      <c r="A14" s="37"/>
      <c r="B14" s="21" t="s">
        <v>169</v>
      </c>
      <c r="C14" s="19">
        <f>SUM(DATA!B87)</f>
        <v>1154.2</v>
      </c>
      <c r="D14" s="19">
        <f>SUM(DATA!C87)</f>
        <v>1042.9000000000001</v>
      </c>
      <c r="E14" s="19">
        <f>SUM(DATA!D87)</f>
        <v>1124.3</v>
      </c>
      <c r="F14" s="19">
        <f>F22*'P&amp;L'!F4</f>
        <v>1383.5488207486565</v>
      </c>
      <c r="G14" s="19">
        <f>G22*'P&amp;L'!G4</f>
        <v>1540.9966765498534</v>
      </c>
      <c r="H14" s="19">
        <f>H22*'P&amp;L'!H4</f>
        <v>1716.3620983412268</v>
      </c>
      <c r="I14" s="19">
        <f>I22*'P&amp;L'!I4</f>
        <v>1911.6841051324582</v>
      </c>
      <c r="J14" s="19">
        <f>J22*'P&amp;L'!J4</f>
        <v>2129.2337562965317</v>
      </c>
      <c r="K14" s="21"/>
    </row>
    <row r="15" spans="1:14" x14ac:dyDescent="0.25">
      <c r="A15" s="37"/>
      <c r="B15" s="21" t="s">
        <v>122</v>
      </c>
      <c r="C15" s="19">
        <f>DATA!B95</f>
        <v>6105.2</v>
      </c>
      <c r="D15" s="19">
        <f>DATA!C95</f>
        <v>7017</v>
      </c>
      <c r="E15" s="19">
        <f>DATA!D95</f>
        <v>7486.9</v>
      </c>
      <c r="F15" s="19">
        <f>EQUITY!F12</f>
        <v>9430.7748492173741</v>
      </c>
      <c r="G15" s="19">
        <f>EQUITY!G12</f>
        <v>11627.117173658073</v>
      </c>
      <c r="H15" s="19">
        <f>EQUITY!H12</f>
        <v>14110.373267098625</v>
      </c>
      <c r="I15" s="19">
        <f>EQUITY!I12</f>
        <v>16914.390467941856</v>
      </c>
      <c r="J15" s="73">
        <f>EQUITY!J12</f>
        <v>20076.757721794009</v>
      </c>
      <c r="K15" s="3"/>
    </row>
    <row r="16" spans="1:14" ht="15.75" thickBot="1" x14ac:dyDescent="0.3">
      <c r="A16" s="37"/>
      <c r="B16" s="26" t="s">
        <v>123</v>
      </c>
      <c r="C16" s="39">
        <f>SUM(C11:C15)</f>
        <v>18081.600000000002</v>
      </c>
      <c r="D16" s="39">
        <f>SUM(D11:D15)</f>
        <v>19391.900000000001</v>
      </c>
      <c r="E16" s="39">
        <f>SUM(E11:E15)</f>
        <v>20146.699999999997</v>
      </c>
      <c r="F16" s="39">
        <f t="shared" ref="F16:J16" si="3">SUM(F11:F15)</f>
        <v>23179.992286786168</v>
      </c>
      <c r="G16" s="39">
        <f t="shared" si="3"/>
        <v>26239.57736241231</v>
      </c>
      <c r="H16" s="39">
        <f t="shared" si="3"/>
        <v>29673.410766279798</v>
      </c>
      <c r="I16" s="39">
        <f t="shared" si="3"/>
        <v>33524.52304392268</v>
      </c>
      <c r="J16" s="74">
        <f t="shared" si="3"/>
        <v>37840.672589522605</v>
      </c>
      <c r="K16" s="3"/>
    </row>
    <row r="17" spans="1:11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5.75" thickBot="1" x14ac:dyDescent="0.3">
      <c r="A18" s="3"/>
      <c r="B18" s="72" t="s">
        <v>124</v>
      </c>
      <c r="C18" s="83">
        <f>C4/'P&amp;L'!C4*360</f>
        <v>62.58471582133231</v>
      </c>
      <c r="D18" s="83">
        <f>D4/'P&amp;L'!D4*360</f>
        <v>60.214508756844829</v>
      </c>
      <c r="E18" s="83">
        <f>E4/'P&amp;L'!E4*360</f>
        <v>56.077265074452313</v>
      </c>
      <c r="F18" s="83">
        <f>AVERAGE($C18:$E18)</f>
        <v>59.625496550876484</v>
      </c>
      <c r="G18" s="83">
        <f t="shared" ref="G18:J22" si="4">AVERAGE($C18:$E18)</f>
        <v>59.625496550876484</v>
      </c>
      <c r="H18" s="83">
        <f t="shared" si="4"/>
        <v>59.625496550876484</v>
      </c>
      <c r="I18" s="83">
        <f t="shared" si="4"/>
        <v>59.625496550876484</v>
      </c>
      <c r="J18" s="84">
        <f t="shared" si="4"/>
        <v>59.625496550876484</v>
      </c>
      <c r="K18" s="3"/>
    </row>
    <row r="19" spans="1:11" ht="15.75" thickBot="1" x14ac:dyDescent="0.3">
      <c r="A19" s="3"/>
      <c r="B19" s="72" t="s">
        <v>125</v>
      </c>
      <c r="C19" s="75">
        <f>-C5/'P&amp;L'!C5*360</f>
        <v>65.092455721916409</v>
      </c>
      <c r="D19" s="75">
        <f>-D5/'P&amp;L'!D5*360</f>
        <v>65.543974823187028</v>
      </c>
      <c r="E19" s="75">
        <f>-E5/'P&amp;L'!E5*360</f>
        <v>55.632284816228633</v>
      </c>
      <c r="F19" s="75">
        <f>AVERAGE($C19:$E19)</f>
        <v>62.089571787110692</v>
      </c>
      <c r="G19" s="75">
        <f t="shared" si="4"/>
        <v>62.089571787110692</v>
      </c>
      <c r="H19" s="75">
        <f t="shared" si="4"/>
        <v>62.089571787110692</v>
      </c>
      <c r="I19" s="75">
        <f t="shared" si="4"/>
        <v>62.089571787110692</v>
      </c>
      <c r="J19" s="76">
        <f t="shared" si="4"/>
        <v>62.089571787110692</v>
      </c>
      <c r="K19" s="3"/>
    </row>
    <row r="20" spans="1:11" ht="15.75" thickBot="1" x14ac:dyDescent="0.3">
      <c r="A20" s="3"/>
      <c r="B20" s="72" t="s">
        <v>126</v>
      </c>
      <c r="C20" s="75">
        <f>-C11/'P&amp;L'!C5*360</f>
        <v>68.285374856033883</v>
      </c>
      <c r="D20" s="75">
        <f>-D11/'P&amp;L'!D5*360</f>
        <v>61.679130993874992</v>
      </c>
      <c r="E20" s="75">
        <f>-E11/'P&amp;L'!E5*360</f>
        <v>60.612806383595789</v>
      </c>
      <c r="F20" s="75">
        <f>AVERAGE($C20:$E20)</f>
        <v>63.525770744501557</v>
      </c>
      <c r="G20" s="75">
        <f t="shared" si="4"/>
        <v>63.525770744501557</v>
      </c>
      <c r="H20" s="75">
        <f t="shared" si="4"/>
        <v>63.525770744501557</v>
      </c>
      <c r="I20" s="75">
        <f t="shared" si="4"/>
        <v>63.525770744501557</v>
      </c>
      <c r="J20" s="76">
        <f t="shared" si="4"/>
        <v>63.525770744501557</v>
      </c>
      <c r="K20" s="3"/>
    </row>
    <row r="21" spans="1:11" ht="15.75" thickBot="1" x14ac:dyDescent="0.3">
      <c r="A21" s="3"/>
      <c r="B21" s="72" t="s">
        <v>146</v>
      </c>
      <c r="C21" s="77">
        <f>C9/'P&amp;L'!C4</f>
        <v>0.11152035118217574</v>
      </c>
      <c r="D21" s="77">
        <f>D9/'P&amp;L'!D4</f>
        <v>0.10637190568855502</v>
      </c>
      <c r="E21" s="77">
        <f>E9/'P&amp;L'!E4</f>
        <v>0.10254458569829923</v>
      </c>
      <c r="F21" s="78">
        <f>AVERAGE($C21:$E21)</f>
        <v>0.10681228085634333</v>
      </c>
      <c r="G21" s="78">
        <f t="shared" si="4"/>
        <v>0.10681228085634333</v>
      </c>
      <c r="H21" s="78">
        <f t="shared" si="4"/>
        <v>0.10681228085634333</v>
      </c>
      <c r="I21" s="78">
        <f t="shared" si="4"/>
        <v>0.10681228085634333</v>
      </c>
      <c r="J21" s="79">
        <f t="shared" si="4"/>
        <v>0.10681228085634333</v>
      </c>
      <c r="K21" s="3"/>
    </row>
    <row r="22" spans="1:11" ht="15.75" thickBot="1" x14ac:dyDescent="0.3">
      <c r="A22" s="3"/>
      <c r="B22" s="72" t="s">
        <v>147</v>
      </c>
      <c r="C22" s="80">
        <f>C14/'P&amp;L'!C4</f>
        <v>7.2174940750514324E-2</v>
      </c>
      <c r="D22" s="80">
        <f>D14/'P&amp;L'!D4</f>
        <v>5.8995565008824739E-2</v>
      </c>
      <c r="E22" s="80">
        <f>E14/'P&amp;L'!E4</f>
        <v>5.6673488522144141E-2</v>
      </c>
      <c r="F22" s="81">
        <f t="shared" ref="F22" si="5">AVERAGE($C22:$E22)</f>
        <v>6.261466476049439E-2</v>
      </c>
      <c r="G22" s="81">
        <f t="shared" si="4"/>
        <v>6.261466476049439E-2</v>
      </c>
      <c r="H22" s="81">
        <f t="shared" si="4"/>
        <v>6.261466476049439E-2</v>
      </c>
      <c r="I22" s="81">
        <f t="shared" si="4"/>
        <v>6.261466476049439E-2</v>
      </c>
      <c r="J22" s="82">
        <f t="shared" si="4"/>
        <v>6.261466476049439E-2</v>
      </c>
      <c r="K22" s="3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5">
      <c r="A24" s="3"/>
      <c r="B24" s="166" t="s">
        <v>127</v>
      </c>
      <c r="C24" s="169">
        <f t="shared" ref="C24:J24" si="6">C10-C16</f>
        <v>0</v>
      </c>
      <c r="D24" s="169">
        <f t="shared" si="6"/>
        <v>0</v>
      </c>
      <c r="E24" s="169">
        <f t="shared" si="6"/>
        <v>0</v>
      </c>
      <c r="F24" s="169">
        <f t="shared" si="6"/>
        <v>0</v>
      </c>
      <c r="G24" s="169">
        <f t="shared" si="6"/>
        <v>0</v>
      </c>
      <c r="H24" s="169">
        <f t="shared" si="6"/>
        <v>0</v>
      </c>
      <c r="I24" s="169">
        <f t="shared" si="6"/>
        <v>0</v>
      </c>
      <c r="J24" s="169">
        <f t="shared" si="6"/>
        <v>0</v>
      </c>
      <c r="K24" s="3"/>
    </row>
    <row r="25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</sheetData>
  <mergeCells count="1">
    <mergeCell ref="F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79F6-C4A5-4958-AE53-A5CEB1443474}">
  <dimension ref="B6:AC29"/>
  <sheetViews>
    <sheetView workbookViewId="0">
      <selection activeCell="K10" sqref="K10"/>
    </sheetView>
  </sheetViews>
  <sheetFormatPr defaultRowHeight="15" x14ac:dyDescent="0.25"/>
  <cols>
    <col min="3" max="3" width="41.85546875" customWidth="1"/>
    <col min="4" max="4" width="9.5703125" bestFit="1" customWidth="1"/>
    <col min="5" max="5" width="12.42578125" customWidth="1"/>
    <col min="6" max="6" width="9.5703125" bestFit="1" customWidth="1"/>
    <col min="7" max="7" width="11.7109375" customWidth="1"/>
    <col min="8" max="9" width="11.85546875" customWidth="1"/>
    <col min="10" max="10" width="11.140625" customWidth="1"/>
    <col min="11" max="11" width="12.28515625" customWidth="1"/>
    <col min="12" max="13" width="9.28515625" bestFit="1" customWidth="1"/>
    <col min="14" max="14" width="11.28515625" customWidth="1"/>
    <col min="15" max="15" width="11.5703125" customWidth="1"/>
    <col min="16" max="16" width="11.28515625" customWidth="1"/>
    <col min="17" max="17" width="13.140625" customWidth="1"/>
    <col min="18" max="18" width="10.85546875" customWidth="1"/>
    <col min="19" max="19" width="12" customWidth="1"/>
    <col min="20" max="20" width="14.140625" customWidth="1"/>
    <col min="21" max="21" width="12.42578125" customWidth="1"/>
    <col min="22" max="22" width="14.28515625" customWidth="1"/>
    <col min="23" max="24" width="12.140625" customWidth="1"/>
    <col min="25" max="25" width="12.5703125" customWidth="1"/>
    <col min="26" max="26" width="11.85546875" customWidth="1"/>
    <col min="27" max="27" width="11.42578125" customWidth="1"/>
    <col min="28" max="28" width="13.5703125" customWidth="1"/>
  </cols>
  <sheetData>
    <row r="6" spans="3:11" ht="15.75" thickBot="1" x14ac:dyDescent="0.3"/>
    <row r="7" spans="3:11" ht="20.25" customHeight="1" thickBot="1" x14ac:dyDescent="0.35">
      <c r="C7" s="137" t="s">
        <v>121</v>
      </c>
      <c r="D7" s="138"/>
      <c r="E7" s="138"/>
      <c r="F7" s="139"/>
      <c r="G7" s="254" t="s">
        <v>20</v>
      </c>
      <c r="H7" s="255"/>
      <c r="I7" s="255"/>
      <c r="J7" s="255"/>
      <c r="K7" s="256"/>
    </row>
    <row r="8" spans="3:11" ht="15.75" thickBot="1" x14ac:dyDescent="0.3">
      <c r="C8" s="136" t="s">
        <v>145</v>
      </c>
      <c r="D8" s="142">
        <v>2022</v>
      </c>
      <c r="E8" s="140">
        <f>D8+1</f>
        <v>2023</v>
      </c>
      <c r="F8" s="144">
        <f t="shared" ref="F8:K8" si="0">E8+1</f>
        <v>2024</v>
      </c>
      <c r="G8" s="142">
        <f t="shared" si="0"/>
        <v>2025</v>
      </c>
      <c r="H8" s="143">
        <f t="shared" si="0"/>
        <v>2026</v>
      </c>
      <c r="I8" s="143">
        <f t="shared" si="0"/>
        <v>2027</v>
      </c>
      <c r="J8" s="143">
        <f t="shared" si="0"/>
        <v>2028</v>
      </c>
      <c r="K8" s="141">
        <f t="shared" si="0"/>
        <v>2029</v>
      </c>
    </row>
    <row r="9" spans="3:11" x14ac:dyDescent="0.25">
      <c r="C9" s="136" t="s">
        <v>153</v>
      </c>
      <c r="D9" s="17"/>
      <c r="E9" s="112">
        <f t="shared" ref="E9:K9" si="1">D13</f>
        <v>4836.3</v>
      </c>
      <c r="F9" s="17">
        <f t="shared" si="1"/>
        <v>4779.8</v>
      </c>
      <c r="G9" s="164">
        <f t="shared" si="1"/>
        <v>4770.3</v>
      </c>
      <c r="H9" s="161">
        <f t="shared" si="1"/>
        <v>5147.3804929454845</v>
      </c>
      <c r="I9" s="161">
        <f t="shared" si="1"/>
        <v>5557.1715598327919</v>
      </c>
      <c r="J9" s="161">
        <f t="shared" si="1"/>
        <v>6002.6943842884684</v>
      </c>
      <c r="K9" s="165">
        <f t="shared" si="1"/>
        <v>6487.2597746133324</v>
      </c>
    </row>
    <row r="10" spans="3:11" x14ac:dyDescent="0.25">
      <c r="C10" s="136" t="s">
        <v>167</v>
      </c>
      <c r="D10" s="17"/>
      <c r="E10" s="156">
        <f>DATA!C82</f>
        <v>801.9</v>
      </c>
      <c r="F10" s="156">
        <f>DATA!D82</f>
        <v>452.2</v>
      </c>
      <c r="G10" s="163">
        <f>F13*G15</f>
        <v>477.03000000000003</v>
      </c>
      <c r="H10" s="161">
        <f>G13*H15</f>
        <v>514.73804929454843</v>
      </c>
      <c r="I10" s="161">
        <f t="shared" ref="I10:K10" si="2">H13*I15</f>
        <v>555.71715598327921</v>
      </c>
      <c r="J10" s="161">
        <f t="shared" si="2"/>
        <v>600.26943842884691</v>
      </c>
      <c r="K10" s="162">
        <f t="shared" si="2"/>
        <v>648.72597746133329</v>
      </c>
    </row>
    <row r="11" spans="3:11" x14ac:dyDescent="0.25">
      <c r="C11" s="34" t="s">
        <v>154</v>
      </c>
      <c r="D11" s="17"/>
      <c r="E11" s="156">
        <f>DATA!C48</f>
        <v>699.2</v>
      </c>
      <c r="F11" s="156">
        <f>DATA!D48</f>
        <v>498.5</v>
      </c>
      <c r="G11" s="163">
        <v>0</v>
      </c>
      <c r="H11" s="161">
        <v>0</v>
      </c>
      <c r="I11" s="161">
        <v>0</v>
      </c>
      <c r="J11" s="161">
        <v>0</v>
      </c>
      <c r="K11" s="162">
        <v>0</v>
      </c>
    </row>
    <row r="12" spans="3:11" ht="15.75" thickBot="1" x14ac:dyDescent="0.3">
      <c r="C12" s="34" t="s">
        <v>155</v>
      </c>
      <c r="D12" s="17"/>
      <c r="E12" s="156">
        <f>E13-E9-E11</f>
        <v>-755.7</v>
      </c>
      <c r="F12" s="157">
        <f>F13-F9-F11</f>
        <v>-508</v>
      </c>
      <c r="G12" s="156">
        <f>D25</f>
        <v>-99.949507054515067</v>
      </c>
      <c r="H12" s="161">
        <f t="shared" ref="H12:K12" si="3">E25</f>
        <v>-104.94698240724082</v>
      </c>
      <c r="I12" s="161">
        <f t="shared" si="3"/>
        <v>-110.19433152760288</v>
      </c>
      <c r="J12" s="161">
        <f t="shared" si="3"/>
        <v>-115.70404810398304</v>
      </c>
      <c r="K12" s="162">
        <f t="shared" si="3"/>
        <v>-121.4892505091822</v>
      </c>
    </row>
    <row r="13" spans="3:11" ht="15.75" thickBot="1" x14ac:dyDescent="0.3">
      <c r="C13" s="179" t="s">
        <v>156</v>
      </c>
      <c r="D13" s="180">
        <f>SUM(DATA!B84,DATA!B82)</f>
        <v>4836.3</v>
      </c>
      <c r="E13" s="180">
        <f>SUM(DATA!C84,DATA!C82)</f>
        <v>4779.8</v>
      </c>
      <c r="F13" s="180">
        <f>SUM(DATA!D84,DATA!D82)</f>
        <v>4770.3</v>
      </c>
      <c r="G13" s="181">
        <f>SUM(G9:G12)</f>
        <v>5147.3804929454845</v>
      </c>
      <c r="H13" s="181">
        <f>SUM(H9:H12)</f>
        <v>5557.1715598327919</v>
      </c>
      <c r="I13" s="181">
        <f>SUM(I9:I12)</f>
        <v>6002.6943842884684</v>
      </c>
      <c r="J13" s="181">
        <f>SUM(J9:J12)</f>
        <v>6487.2597746133324</v>
      </c>
      <c r="K13" s="182">
        <f>SUM(K9:K12)</f>
        <v>7014.4965015654834</v>
      </c>
    </row>
    <row r="14" spans="3:11" ht="15.75" thickBot="1" x14ac:dyDescent="0.3"/>
    <row r="15" spans="3:11" ht="13.5" customHeight="1" thickBot="1" x14ac:dyDescent="0.3">
      <c r="C15" s="179" t="s">
        <v>168</v>
      </c>
      <c r="D15" s="183"/>
      <c r="E15" s="183"/>
      <c r="F15" s="183"/>
      <c r="G15" s="184">
        <v>0.1</v>
      </c>
      <c r="H15" s="184">
        <v>0.1</v>
      </c>
      <c r="I15" s="184">
        <v>0.1</v>
      </c>
      <c r="J15" s="184">
        <v>0.1</v>
      </c>
      <c r="K15" s="184">
        <v>0.1</v>
      </c>
    </row>
    <row r="16" spans="3:11" ht="15.75" thickBot="1" x14ac:dyDescent="0.3"/>
    <row r="17" spans="2:29" ht="15.75" thickBot="1" x14ac:dyDescent="0.3">
      <c r="C17" s="151" t="s">
        <v>163</v>
      </c>
      <c r="D17" s="152">
        <v>0.05</v>
      </c>
    </row>
    <row r="18" spans="2:29" ht="15.75" thickBot="1" x14ac:dyDescent="0.3">
      <c r="C18" s="153" t="s">
        <v>157</v>
      </c>
      <c r="D18" s="154">
        <v>25</v>
      </c>
    </row>
    <row r="19" spans="2:29" ht="15.75" thickBot="1" x14ac:dyDescent="0.3">
      <c r="C19" s="155" t="s">
        <v>158</v>
      </c>
      <c r="D19" s="154">
        <f>PMT(D17,D18,F13)</f>
        <v>-338.46450705451508</v>
      </c>
    </row>
    <row r="20" spans="2:29" ht="15.75" thickBot="1" x14ac:dyDescent="0.3"/>
    <row r="21" spans="2:29" ht="15.75" thickBot="1" x14ac:dyDescent="0.3">
      <c r="C21" s="176" t="s">
        <v>166</v>
      </c>
      <c r="D21" s="177">
        <f>D17</f>
        <v>0.05</v>
      </c>
      <c r="E21" s="177">
        <f>D21</f>
        <v>0.05</v>
      </c>
      <c r="F21" s="177">
        <f t="shared" ref="F21:AB21" si="4">E21</f>
        <v>0.05</v>
      </c>
      <c r="G21" s="177">
        <f t="shared" si="4"/>
        <v>0.05</v>
      </c>
      <c r="H21" s="177">
        <f t="shared" si="4"/>
        <v>0.05</v>
      </c>
      <c r="I21" s="177">
        <f t="shared" si="4"/>
        <v>0.05</v>
      </c>
      <c r="J21" s="177">
        <f t="shared" si="4"/>
        <v>0.05</v>
      </c>
      <c r="K21" s="177">
        <f t="shared" si="4"/>
        <v>0.05</v>
      </c>
      <c r="L21" s="177">
        <f t="shared" si="4"/>
        <v>0.05</v>
      </c>
      <c r="M21" s="177">
        <f t="shared" si="4"/>
        <v>0.05</v>
      </c>
      <c r="N21" s="177">
        <f t="shared" si="4"/>
        <v>0.05</v>
      </c>
      <c r="O21" s="177">
        <f t="shared" si="4"/>
        <v>0.05</v>
      </c>
      <c r="P21" s="177">
        <f t="shared" si="4"/>
        <v>0.05</v>
      </c>
      <c r="Q21" s="177">
        <f t="shared" si="4"/>
        <v>0.05</v>
      </c>
      <c r="R21" s="177">
        <f t="shared" si="4"/>
        <v>0.05</v>
      </c>
      <c r="S21" s="177">
        <f t="shared" si="4"/>
        <v>0.05</v>
      </c>
      <c r="T21" s="177">
        <f t="shared" si="4"/>
        <v>0.05</v>
      </c>
      <c r="U21" s="177">
        <f t="shared" si="4"/>
        <v>0.05</v>
      </c>
      <c r="V21" s="177">
        <f t="shared" si="4"/>
        <v>0.05</v>
      </c>
      <c r="W21" s="177">
        <f t="shared" si="4"/>
        <v>0.05</v>
      </c>
      <c r="X21" s="177">
        <f t="shared" si="4"/>
        <v>0.05</v>
      </c>
      <c r="Y21" s="177">
        <f t="shared" si="4"/>
        <v>0.05</v>
      </c>
      <c r="Z21" s="177">
        <f t="shared" si="4"/>
        <v>0.05</v>
      </c>
      <c r="AA21" s="177">
        <f t="shared" si="4"/>
        <v>0.05</v>
      </c>
      <c r="AB21" s="177">
        <f t="shared" si="4"/>
        <v>0.05</v>
      </c>
      <c r="AC21" s="34"/>
    </row>
    <row r="22" spans="2:29" ht="15.75" thickBot="1" x14ac:dyDescent="0.3">
      <c r="C22" s="173" t="s">
        <v>159</v>
      </c>
      <c r="D22" s="174">
        <v>1</v>
      </c>
      <c r="E22" s="174">
        <v>2</v>
      </c>
      <c r="F22" s="174">
        <v>3</v>
      </c>
      <c r="G22" s="174">
        <v>4</v>
      </c>
      <c r="H22" s="174">
        <v>5</v>
      </c>
      <c r="I22" s="174">
        <v>6</v>
      </c>
      <c r="J22" s="174">
        <v>7</v>
      </c>
      <c r="K22" s="174">
        <v>8</v>
      </c>
      <c r="L22" s="174">
        <v>9</v>
      </c>
      <c r="M22" s="174">
        <v>10</v>
      </c>
      <c r="N22" s="175">
        <f>M22+1</f>
        <v>11</v>
      </c>
      <c r="O22" s="175">
        <f t="shared" ref="O22:AB22" si="5">N22+1</f>
        <v>12</v>
      </c>
      <c r="P22" s="175">
        <f t="shared" si="5"/>
        <v>13</v>
      </c>
      <c r="Q22" s="175">
        <f t="shared" si="5"/>
        <v>14</v>
      </c>
      <c r="R22" s="175">
        <f t="shared" si="5"/>
        <v>15</v>
      </c>
      <c r="S22" s="175">
        <f t="shared" si="5"/>
        <v>16</v>
      </c>
      <c r="T22" s="175">
        <f t="shared" si="5"/>
        <v>17</v>
      </c>
      <c r="U22" s="175">
        <f t="shared" si="5"/>
        <v>18</v>
      </c>
      <c r="V22" s="175">
        <f t="shared" si="5"/>
        <v>19</v>
      </c>
      <c r="W22" s="175">
        <f t="shared" si="5"/>
        <v>20</v>
      </c>
      <c r="X22" s="175">
        <f t="shared" si="5"/>
        <v>21</v>
      </c>
      <c r="Y22" s="175">
        <f t="shared" si="5"/>
        <v>22</v>
      </c>
      <c r="Z22" s="175">
        <f>Y22+1</f>
        <v>23</v>
      </c>
      <c r="AA22" s="175">
        <f t="shared" si="5"/>
        <v>24</v>
      </c>
      <c r="AB22" s="175">
        <f t="shared" si="5"/>
        <v>25</v>
      </c>
      <c r="AC22" s="34"/>
    </row>
    <row r="23" spans="2:29" ht="15.75" thickBot="1" x14ac:dyDescent="0.3">
      <c r="C23" s="178" t="s">
        <v>160</v>
      </c>
      <c r="D23" s="158">
        <f>D19</f>
        <v>-338.46450705451508</v>
      </c>
      <c r="E23" s="158">
        <f>D23</f>
        <v>-338.46450705451508</v>
      </c>
      <c r="F23" s="158">
        <f t="shared" ref="F23:AB23" si="6">E23</f>
        <v>-338.46450705451508</v>
      </c>
      <c r="G23" s="158">
        <f t="shared" si="6"/>
        <v>-338.46450705451508</v>
      </c>
      <c r="H23" s="158">
        <f t="shared" si="6"/>
        <v>-338.46450705451508</v>
      </c>
      <c r="I23" s="158">
        <f t="shared" si="6"/>
        <v>-338.46450705451508</v>
      </c>
      <c r="J23" s="158">
        <f t="shared" si="6"/>
        <v>-338.46450705451508</v>
      </c>
      <c r="K23" s="158">
        <f t="shared" si="6"/>
        <v>-338.46450705451508</v>
      </c>
      <c r="L23" s="158">
        <f t="shared" si="6"/>
        <v>-338.46450705451508</v>
      </c>
      <c r="M23" s="158">
        <f t="shared" si="6"/>
        <v>-338.46450705451508</v>
      </c>
      <c r="N23" s="158">
        <f t="shared" si="6"/>
        <v>-338.46450705451508</v>
      </c>
      <c r="O23" s="158">
        <f t="shared" si="6"/>
        <v>-338.46450705451508</v>
      </c>
      <c r="P23" s="158">
        <f t="shared" si="6"/>
        <v>-338.46450705451508</v>
      </c>
      <c r="Q23" s="158">
        <f t="shared" si="6"/>
        <v>-338.46450705451508</v>
      </c>
      <c r="R23" s="158">
        <f t="shared" si="6"/>
        <v>-338.46450705451508</v>
      </c>
      <c r="S23" s="158">
        <f t="shared" si="6"/>
        <v>-338.46450705451508</v>
      </c>
      <c r="T23" s="158">
        <f t="shared" si="6"/>
        <v>-338.46450705451508</v>
      </c>
      <c r="U23" s="158">
        <f t="shared" si="6"/>
        <v>-338.46450705451508</v>
      </c>
      <c r="V23" s="158">
        <f t="shared" si="6"/>
        <v>-338.46450705451508</v>
      </c>
      <c r="W23" s="158">
        <f t="shared" si="6"/>
        <v>-338.46450705451508</v>
      </c>
      <c r="X23" s="158">
        <f t="shared" si="6"/>
        <v>-338.46450705451508</v>
      </c>
      <c r="Y23" s="158">
        <f t="shared" si="6"/>
        <v>-338.46450705451508</v>
      </c>
      <c r="Z23" s="158">
        <f t="shared" si="6"/>
        <v>-338.46450705451508</v>
      </c>
      <c r="AA23" s="158">
        <f t="shared" si="6"/>
        <v>-338.46450705451508</v>
      </c>
      <c r="AB23" s="158">
        <f t="shared" si="6"/>
        <v>-338.46450705451508</v>
      </c>
      <c r="AC23" s="34"/>
    </row>
    <row r="24" spans="2:29" ht="15.75" thickBot="1" x14ac:dyDescent="0.3">
      <c r="C24" s="178" t="s">
        <v>161</v>
      </c>
      <c r="D24" s="159">
        <f>-D21*F13</f>
        <v>-238.51500000000001</v>
      </c>
      <c r="E24" s="159">
        <f>-E21*D26</f>
        <v>-233.51752464727426</v>
      </c>
      <c r="F24" s="159">
        <f>-F21*E26</f>
        <v>-228.2701755269122</v>
      </c>
      <c r="G24" s="159">
        <f>-G21*F26</f>
        <v>-222.76045895053204</v>
      </c>
      <c r="H24" s="159">
        <f t="shared" ref="H24:AB24" si="7">-H21*G26</f>
        <v>-216.97525654533288</v>
      </c>
      <c r="I24" s="159">
        <f t="shared" si="7"/>
        <v>-210.90079401987379</v>
      </c>
      <c r="J24" s="159">
        <f t="shared" si="7"/>
        <v>-204.52260836814173</v>
      </c>
      <c r="K24" s="159">
        <f t="shared" si="7"/>
        <v>-197.82551343382306</v>
      </c>
      <c r="L24" s="159">
        <f t="shared" si="7"/>
        <v>-190.79356375278846</v>
      </c>
      <c r="M24" s="159">
        <f t="shared" si="7"/>
        <v>-183.4100165877021</v>
      </c>
      <c r="N24" s="159">
        <f t="shared" si="7"/>
        <v>-175.65729206436146</v>
      </c>
      <c r="O24" s="159">
        <f t="shared" si="7"/>
        <v>-167.51693131485376</v>
      </c>
      <c r="P24" s="159">
        <f t="shared" si="7"/>
        <v>-158.96955252787072</v>
      </c>
      <c r="Q24" s="159">
        <f t="shared" si="7"/>
        <v>-149.99480480153849</v>
      </c>
      <c r="R24" s="159">
        <f t="shared" si="7"/>
        <v>-140.57131968888964</v>
      </c>
      <c r="S24" s="159">
        <f t="shared" si="7"/>
        <v>-130.67666032060836</v>
      </c>
      <c r="T24" s="159">
        <f t="shared" si="7"/>
        <v>-120.28726798391301</v>
      </c>
      <c r="U24" s="159">
        <f t="shared" si="7"/>
        <v>-109.37840603038292</v>
      </c>
      <c r="V24" s="159">
        <f t="shared" si="7"/>
        <v>-97.924100979176316</v>
      </c>
      <c r="W24" s="159">
        <f t="shared" si="7"/>
        <v>-85.89708067540937</v>
      </c>
      <c r="X24" s="159">
        <f t="shared" si="7"/>
        <v>-73.268709356454096</v>
      </c>
      <c r="Y24" s="159">
        <f t="shared" si="7"/>
        <v>-60.008919471551046</v>
      </c>
      <c r="Z24" s="159">
        <f t="shared" si="7"/>
        <v>-46.086140092402843</v>
      </c>
      <c r="AA24" s="159">
        <f t="shared" si="7"/>
        <v>-31.46722174429723</v>
      </c>
      <c r="AB24" s="159">
        <f t="shared" si="7"/>
        <v>-16.117357478786335</v>
      </c>
      <c r="AC24" s="34"/>
    </row>
    <row r="25" spans="2:29" ht="15.75" thickBot="1" x14ac:dyDescent="0.3">
      <c r="C25" s="178" t="s">
        <v>155</v>
      </c>
      <c r="D25" s="159">
        <f t="shared" ref="D25:AB25" si="8">D23-D24</f>
        <v>-99.949507054515067</v>
      </c>
      <c r="E25" s="159">
        <f t="shared" si="8"/>
        <v>-104.94698240724082</v>
      </c>
      <c r="F25" s="159">
        <f t="shared" si="8"/>
        <v>-110.19433152760288</v>
      </c>
      <c r="G25" s="159">
        <f t="shared" si="8"/>
        <v>-115.70404810398304</v>
      </c>
      <c r="H25" s="159">
        <f t="shared" si="8"/>
        <v>-121.4892505091822</v>
      </c>
      <c r="I25" s="159">
        <f t="shared" si="8"/>
        <v>-127.5637130346413</v>
      </c>
      <c r="J25" s="159">
        <f t="shared" si="8"/>
        <v>-133.94189868637335</v>
      </c>
      <c r="K25" s="159">
        <f t="shared" si="8"/>
        <v>-140.63899362069202</v>
      </c>
      <c r="L25" s="159">
        <f t="shared" si="8"/>
        <v>-147.67094330172662</v>
      </c>
      <c r="M25" s="159">
        <f t="shared" si="8"/>
        <v>-155.05449046681298</v>
      </c>
      <c r="N25" s="159">
        <f t="shared" si="8"/>
        <v>-162.80721499015362</v>
      </c>
      <c r="O25" s="159">
        <f t="shared" si="8"/>
        <v>-170.94757573966132</v>
      </c>
      <c r="P25" s="159">
        <f t="shared" si="8"/>
        <v>-179.49495452664436</v>
      </c>
      <c r="Q25" s="159">
        <f t="shared" si="8"/>
        <v>-188.46970225297659</v>
      </c>
      <c r="R25" s="159">
        <f t="shared" si="8"/>
        <v>-197.89318736562544</v>
      </c>
      <c r="S25" s="159">
        <f t="shared" si="8"/>
        <v>-207.78784673390672</v>
      </c>
      <c r="T25" s="159">
        <f t="shared" si="8"/>
        <v>-218.17723907060207</v>
      </c>
      <c r="U25" s="159">
        <f t="shared" si="8"/>
        <v>-229.08610102413218</v>
      </c>
      <c r="V25" s="159">
        <f t="shared" si="8"/>
        <v>-240.54040607533875</v>
      </c>
      <c r="W25" s="159">
        <f t="shared" si="8"/>
        <v>-252.56742637910571</v>
      </c>
      <c r="X25" s="159">
        <f t="shared" si="8"/>
        <v>-265.19579769806097</v>
      </c>
      <c r="Y25" s="159">
        <f t="shared" si="8"/>
        <v>-278.45558758296403</v>
      </c>
      <c r="Z25" s="159">
        <f t="shared" si="8"/>
        <v>-292.37836696211224</v>
      </c>
      <c r="AA25" s="159">
        <f t="shared" si="8"/>
        <v>-306.99728531021788</v>
      </c>
      <c r="AB25" s="159">
        <f t="shared" si="8"/>
        <v>-322.34714957572874</v>
      </c>
      <c r="AC25" s="34"/>
    </row>
    <row r="26" spans="2:29" ht="15.75" thickBot="1" x14ac:dyDescent="0.3">
      <c r="C26" s="72" t="s">
        <v>162</v>
      </c>
      <c r="D26" s="160">
        <f>D25+F13</f>
        <v>4670.3504929454848</v>
      </c>
      <c r="E26" s="160">
        <f t="shared" ref="E26:L26" si="9">D26+E25</f>
        <v>4565.4035105382436</v>
      </c>
      <c r="F26" s="160">
        <f t="shared" si="9"/>
        <v>4455.2091790106406</v>
      </c>
      <c r="G26" s="160">
        <f t="shared" si="9"/>
        <v>4339.5051309066575</v>
      </c>
      <c r="H26" s="160">
        <f t="shared" si="9"/>
        <v>4218.0158803974755</v>
      </c>
      <c r="I26" s="160">
        <f t="shared" si="9"/>
        <v>4090.4521673628342</v>
      </c>
      <c r="J26" s="160">
        <f t="shared" si="9"/>
        <v>3956.5102686764608</v>
      </c>
      <c r="K26" s="160">
        <f t="shared" si="9"/>
        <v>3815.8712750557688</v>
      </c>
      <c r="L26" s="160">
        <f t="shared" si="9"/>
        <v>3668.2003317540421</v>
      </c>
      <c r="M26" s="160">
        <f t="shared" ref="M26" si="10">L26+M25</f>
        <v>3513.1458412872289</v>
      </c>
      <c r="N26" s="160">
        <f t="shared" ref="N26" si="11">M26+N25</f>
        <v>3350.3386262970753</v>
      </c>
      <c r="O26" s="160">
        <f t="shared" ref="O26" si="12">N26+O25</f>
        <v>3179.391050557414</v>
      </c>
      <c r="P26" s="160">
        <f t="shared" ref="P26" si="13">O26+P25</f>
        <v>2999.8960960307695</v>
      </c>
      <c r="Q26" s="160">
        <f t="shared" ref="Q26" si="14">P26+Q25</f>
        <v>2811.4263937777928</v>
      </c>
      <c r="R26" s="160">
        <f t="shared" ref="R26" si="15">Q26+R25</f>
        <v>2613.5332064121671</v>
      </c>
      <c r="S26" s="160">
        <f t="shared" ref="S26" si="16">R26+S25</f>
        <v>2405.7453596782602</v>
      </c>
      <c r="T26" s="160">
        <f t="shared" ref="T26" si="17">S26+T25</f>
        <v>2187.5681206076583</v>
      </c>
      <c r="U26" s="160">
        <f t="shared" ref="U26" si="18">T26+U25</f>
        <v>1958.4820195835262</v>
      </c>
      <c r="V26" s="160">
        <f t="shared" ref="V26" si="19">U26+V25</f>
        <v>1717.9416135081874</v>
      </c>
      <c r="W26" s="160">
        <f t="shared" ref="W26" si="20">V26+W25</f>
        <v>1465.3741871290817</v>
      </c>
      <c r="X26" s="160">
        <f t="shared" ref="X26" si="21">W26+X25</f>
        <v>1200.1783894310208</v>
      </c>
      <c r="Y26" s="160">
        <f t="shared" ref="Y26" si="22">X26+Y25</f>
        <v>921.72280184805686</v>
      </c>
      <c r="Z26" s="160">
        <f t="shared" ref="Z26" si="23">Y26+Z25</f>
        <v>629.34443488594457</v>
      </c>
      <c r="AA26" s="160">
        <f t="shared" ref="AA26" si="24">Z26+AA25</f>
        <v>322.34714957572669</v>
      </c>
      <c r="AB26" s="160">
        <f t="shared" ref="AB26" si="25">AA26+AB25</f>
        <v>-2.0463630789890885E-12</v>
      </c>
      <c r="AC26" s="34"/>
    </row>
    <row r="27" spans="2:29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29" ht="15.75" thickBot="1" x14ac:dyDescent="0.3"/>
    <row r="29" spans="2:29" ht="15.75" thickBot="1" x14ac:dyDescent="0.3">
      <c r="O29" s="172"/>
    </row>
  </sheetData>
  <mergeCells count="1">
    <mergeCell ref="G7:K7"/>
  </mergeCells>
  <pageMargins left="0.7" right="0.7" top="0.75" bottom="0.75" header="0.3" footer="0.3"/>
  <pageSetup orientation="portrait" r:id="rId1"/>
  <ignoredErrors>
    <ignoredError sqref="E21 N22:AB22 G2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A840-B54B-44AB-BE9A-015E59DE5457}">
  <dimension ref="A1:K19"/>
  <sheetViews>
    <sheetView workbookViewId="0">
      <selection activeCell="A11" sqref="A11"/>
    </sheetView>
  </sheetViews>
  <sheetFormatPr defaultRowHeight="15" x14ac:dyDescent="0.25"/>
  <cols>
    <col min="2" max="2" width="40" customWidth="1"/>
    <col min="3" max="3" width="11.5703125" customWidth="1"/>
    <col min="4" max="4" width="12" customWidth="1"/>
    <col min="5" max="5" width="12.42578125" customWidth="1"/>
    <col min="6" max="6" width="11.28515625" customWidth="1"/>
    <col min="7" max="7" width="12.140625" customWidth="1"/>
    <col min="8" max="8" width="12" customWidth="1"/>
    <col min="9" max="9" width="13.7109375" customWidth="1"/>
    <col min="10" max="10" width="13" customWidth="1"/>
  </cols>
  <sheetData>
    <row r="1" spans="1:11" x14ac:dyDescent="0.25">
      <c r="A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thickBot="1" x14ac:dyDescent="0.3">
      <c r="A3" s="3"/>
      <c r="B3" s="3"/>
      <c r="C3" s="3"/>
      <c r="D3" s="3"/>
      <c r="E3" s="3"/>
      <c r="F3" s="52"/>
      <c r="G3" s="52"/>
      <c r="H3" s="52"/>
      <c r="I3" s="52"/>
      <c r="J3" s="52"/>
      <c r="K3" s="3"/>
    </row>
    <row r="4" spans="1:11" ht="26.25" thickBot="1" x14ac:dyDescent="0.55000000000000004">
      <c r="A4" s="3"/>
      <c r="B4" s="187" t="s">
        <v>129</v>
      </c>
      <c r="C4" s="249"/>
      <c r="D4" s="250"/>
      <c r="E4" s="250"/>
      <c r="F4" s="257" t="s">
        <v>20</v>
      </c>
      <c r="G4" s="258"/>
      <c r="H4" s="258"/>
      <c r="I4" s="258"/>
      <c r="J4" s="259"/>
      <c r="K4" s="3"/>
    </row>
    <row r="5" spans="1:11" ht="15.75" thickBot="1" x14ac:dyDescent="0.3">
      <c r="A5" s="3"/>
      <c r="B5" s="48" t="s">
        <v>21</v>
      </c>
      <c r="C5" s="9">
        <v>44926</v>
      </c>
      <c r="D5" s="59">
        <v>45291</v>
      </c>
      <c r="E5" s="59">
        <v>45657</v>
      </c>
      <c r="F5" s="59">
        <v>46022</v>
      </c>
      <c r="G5" s="59">
        <v>46387</v>
      </c>
      <c r="H5" s="59">
        <v>46752</v>
      </c>
      <c r="I5" s="59">
        <v>47118</v>
      </c>
      <c r="J5" s="59">
        <v>47483</v>
      </c>
      <c r="K5" s="3"/>
    </row>
    <row r="6" spans="1:11" ht="16.5" customHeight="1" x14ac:dyDescent="0.25">
      <c r="A6" s="3"/>
      <c r="B6" s="28" t="s">
        <v>130</v>
      </c>
      <c r="D6" s="193">
        <f>C12</f>
        <v>6105.2</v>
      </c>
      <c r="E6" s="193">
        <f>D12</f>
        <v>7017</v>
      </c>
      <c r="F6" s="53">
        <f>E12</f>
        <v>7486.9</v>
      </c>
      <c r="G6" s="54">
        <f t="shared" ref="G6:J6" si="0">F12</f>
        <v>9430.7748492173741</v>
      </c>
      <c r="H6" s="54">
        <f t="shared" si="0"/>
        <v>11627.117173658073</v>
      </c>
      <c r="I6" s="54">
        <f t="shared" si="0"/>
        <v>14110.373267098625</v>
      </c>
      <c r="J6" s="55">
        <f t="shared" si="0"/>
        <v>16914.390467941856</v>
      </c>
      <c r="K6" s="3"/>
    </row>
    <row r="7" spans="1:11" s="188" customFormat="1" ht="16.5" customHeight="1" x14ac:dyDescent="0.25">
      <c r="A7" s="189"/>
      <c r="B7" s="192" t="s">
        <v>171</v>
      </c>
      <c r="D7" s="193">
        <f>DATA!C54</f>
        <v>79.3</v>
      </c>
      <c r="E7" s="193">
        <f>DATA!D54</f>
        <v>46.9</v>
      </c>
      <c r="F7" s="194">
        <f>0</f>
        <v>0</v>
      </c>
      <c r="G7" s="195">
        <f>0</f>
        <v>0</v>
      </c>
      <c r="H7" s="195">
        <v>0</v>
      </c>
      <c r="I7" s="195">
        <v>0</v>
      </c>
      <c r="J7" s="196">
        <v>0</v>
      </c>
      <c r="K7" s="189"/>
    </row>
    <row r="8" spans="1:11" s="188" customFormat="1" ht="16.5" customHeight="1" x14ac:dyDescent="0.25">
      <c r="A8" s="189"/>
      <c r="B8" s="192" t="s">
        <v>172</v>
      </c>
      <c r="D8" s="193">
        <f>-(DATA!B92-DATA!C92)</f>
        <v>95.400000000000091</v>
      </c>
      <c r="E8" s="193">
        <f>DATA!C92-DATA!D92</f>
        <v>193.30000000000007</v>
      </c>
      <c r="F8" s="194">
        <v>0</v>
      </c>
      <c r="G8" s="195">
        <v>0</v>
      </c>
      <c r="H8" s="195">
        <v>0</v>
      </c>
      <c r="I8" s="195">
        <v>0</v>
      </c>
      <c r="J8" s="196">
        <v>0</v>
      </c>
      <c r="K8" s="189"/>
    </row>
    <row r="9" spans="1:11" x14ac:dyDescent="0.25">
      <c r="A9" s="3"/>
      <c r="B9" s="28" t="s">
        <v>32</v>
      </c>
      <c r="D9" s="193">
        <f>'P&amp;L'!D14</f>
        <v>2079.5129999999981</v>
      </c>
      <c r="E9" s="193">
        <f>'P&amp;L'!E14</f>
        <v>2625.8579999999997</v>
      </c>
      <c r="F9" s="198">
        <f>'P&amp;L'!F14</f>
        <v>2776.9640703105365</v>
      </c>
      <c r="G9" s="193">
        <f>'P&amp;L'!G14</f>
        <v>3137.6318920581389</v>
      </c>
      <c r="H9" s="193">
        <f>'P&amp;L'!H14</f>
        <v>3547.5087049150761</v>
      </c>
      <c r="I9" s="193">
        <f>'P&amp;L'!I14</f>
        <v>4005.7388583474735</v>
      </c>
      <c r="J9" s="193">
        <f>'P&amp;L'!J14</f>
        <v>4517.6675055030755</v>
      </c>
      <c r="K9" s="191"/>
    </row>
    <row r="10" spans="1:11" x14ac:dyDescent="0.25">
      <c r="A10" s="3"/>
      <c r="B10" s="28" t="s">
        <v>170</v>
      </c>
      <c r="D10" s="193">
        <f>DATA!C55</f>
        <v>-669.3</v>
      </c>
      <c r="E10" s="193">
        <f>DATA!D55</f>
        <v>-1280.8</v>
      </c>
      <c r="F10" s="53">
        <v>0</v>
      </c>
      <c r="G10" s="195">
        <f>F10</f>
        <v>0</v>
      </c>
      <c r="H10" s="195">
        <f t="shared" ref="H10:J10" si="1">AVERAGE(F10:G10)</f>
        <v>0</v>
      </c>
      <c r="I10" s="195">
        <f t="shared" si="1"/>
        <v>0</v>
      </c>
      <c r="J10" s="195">
        <f t="shared" si="1"/>
        <v>0</v>
      </c>
      <c r="K10" s="191"/>
    </row>
    <row r="11" spans="1:11" ht="15.75" thickBot="1" x14ac:dyDescent="0.3">
      <c r="A11" s="3"/>
      <c r="B11" s="28" t="s">
        <v>131</v>
      </c>
      <c r="D11" s="193">
        <f>DATA!C52</f>
        <v>-683.7</v>
      </c>
      <c r="E11" s="193">
        <f>DATA!D52</f>
        <v>-757.5</v>
      </c>
      <c r="F11" s="56">
        <f>-F9*F14</f>
        <v>-833.08922109316097</v>
      </c>
      <c r="G11" s="57">
        <f t="shared" ref="G11:J11" si="2">-G9*G14</f>
        <v>-941.28956761744166</v>
      </c>
      <c r="H11" s="57">
        <f t="shared" si="2"/>
        <v>-1064.2526114745228</v>
      </c>
      <c r="I11" s="57">
        <f t="shared" si="2"/>
        <v>-1201.7216575042421</v>
      </c>
      <c r="J11" s="58">
        <f t="shared" si="2"/>
        <v>-1355.3002516509225</v>
      </c>
      <c r="K11" s="3"/>
    </row>
    <row r="12" spans="1:11" ht="15.75" thickBot="1" x14ac:dyDescent="0.3">
      <c r="A12" s="3"/>
      <c r="B12" s="49" t="s">
        <v>132</v>
      </c>
      <c r="C12" s="186">
        <f>DATA!B95</f>
        <v>6105.2</v>
      </c>
      <c r="D12" s="186">
        <f>DATA!C95</f>
        <v>7017</v>
      </c>
      <c r="E12" s="6">
        <f>'BALANCE SHEET'!E15</f>
        <v>7486.9</v>
      </c>
      <c r="F12" s="50">
        <f>SUM(F6:F11)</f>
        <v>9430.7748492173741</v>
      </c>
      <c r="G12" s="50">
        <f t="shared" ref="G12:J12" si="3">SUM(G6:G11)</f>
        <v>11627.117173658073</v>
      </c>
      <c r="H12" s="50">
        <f t="shared" si="3"/>
        <v>14110.373267098625</v>
      </c>
      <c r="I12" s="50">
        <f t="shared" si="3"/>
        <v>16914.390467941856</v>
      </c>
      <c r="J12" s="51">
        <f t="shared" si="3"/>
        <v>20076.757721794009</v>
      </c>
      <c r="K12" s="3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166" t="s">
        <v>133</v>
      </c>
      <c r="C14" s="166"/>
      <c r="D14" s="167"/>
      <c r="E14" s="167"/>
      <c r="F14" s="168">
        <v>0.3</v>
      </c>
      <c r="G14" s="168">
        <f>F14</f>
        <v>0.3</v>
      </c>
      <c r="H14" s="168">
        <f>G14</f>
        <v>0.3</v>
      </c>
      <c r="I14" s="168">
        <f>H14</f>
        <v>0.3</v>
      </c>
      <c r="J14" s="168">
        <f>I14</f>
        <v>0.3</v>
      </c>
      <c r="K14" s="3"/>
    </row>
    <row r="17" spans="4:8" x14ac:dyDescent="0.25">
      <c r="H17" s="190"/>
    </row>
    <row r="18" spans="4:8" x14ac:dyDescent="0.25">
      <c r="D18" s="131"/>
      <c r="H18" s="199">
        <f>F12-E12</f>
        <v>1943.8748492173745</v>
      </c>
    </row>
    <row r="19" spans="4:8" x14ac:dyDescent="0.25">
      <c r="H19" s="190"/>
    </row>
  </sheetData>
  <mergeCells count="1">
    <mergeCell ref="F4:J4"/>
  </mergeCells>
  <pageMargins left="0.7" right="0.7" top="0.75" bottom="0.75" header="0.3" footer="0.3"/>
  <ignoredErrors>
    <ignoredError sqref="G1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95B6-9DD1-40E2-96EB-145724363A79}">
  <dimension ref="B1:G19"/>
  <sheetViews>
    <sheetView workbookViewId="0">
      <selection activeCell="J8" sqref="J8"/>
    </sheetView>
  </sheetViews>
  <sheetFormatPr defaultRowHeight="15" x14ac:dyDescent="0.25"/>
  <cols>
    <col min="1" max="1" width="20" customWidth="1"/>
    <col min="2" max="2" width="33" customWidth="1"/>
    <col min="4" max="4" width="10.140625" customWidth="1"/>
    <col min="5" max="5" width="11.28515625" customWidth="1"/>
    <col min="6" max="6" width="11.5703125" customWidth="1"/>
    <col min="7" max="7" width="10.42578125" customWidth="1"/>
  </cols>
  <sheetData>
    <row r="1" spans="2:7" ht="15.75" thickBot="1" x14ac:dyDescent="0.3"/>
    <row r="2" spans="2:7" ht="16.5" thickBot="1" x14ac:dyDescent="0.3">
      <c r="B2" s="122" t="s">
        <v>134</v>
      </c>
      <c r="C2" s="60" t="s">
        <v>20</v>
      </c>
      <c r="D2" s="61"/>
      <c r="E2" s="61"/>
      <c r="F2" s="61"/>
      <c r="G2" s="62"/>
    </row>
    <row r="3" spans="2:7" ht="15.75" thickBot="1" x14ac:dyDescent="0.3">
      <c r="B3" s="65" t="s">
        <v>145</v>
      </c>
      <c r="C3" s="72">
        <v>2025</v>
      </c>
      <c r="D3" s="72">
        <v>2026</v>
      </c>
      <c r="E3" s="72">
        <f>D3+1</f>
        <v>2027</v>
      </c>
      <c r="F3" s="72">
        <f t="shared" ref="F3:G3" si="0">E3+1</f>
        <v>2028</v>
      </c>
      <c r="G3" s="66">
        <f t="shared" si="0"/>
        <v>2029</v>
      </c>
    </row>
    <row r="4" spans="2:7" x14ac:dyDescent="0.25">
      <c r="B4" s="67" t="s">
        <v>26</v>
      </c>
      <c r="C4" s="67">
        <f>'P&amp;L'!F8</f>
        <v>4054.320690616566</v>
      </c>
      <c r="D4" s="67">
        <f>'P&amp;L'!G8</f>
        <v>4515.7023852087314</v>
      </c>
      <c r="E4" s="67">
        <f>'P&amp;L'!H8</f>
        <v>5029.5893166454834</v>
      </c>
      <c r="F4" s="67">
        <f>'P&amp;L'!I8</f>
        <v>5601.9565808797388</v>
      </c>
      <c r="G4" s="70">
        <f>'P&amp;L'!J8</f>
        <v>6239.4592397838524</v>
      </c>
    </row>
    <row r="5" spans="2:7" x14ac:dyDescent="0.25">
      <c r="B5" s="68" t="s">
        <v>29</v>
      </c>
      <c r="C5" s="68">
        <f>'P&amp;L'!F11</f>
        <v>-238.51500000000001</v>
      </c>
      <c r="D5" s="68">
        <f>'P&amp;L'!G11</f>
        <v>-233.51752464727426</v>
      </c>
      <c r="E5" s="68">
        <f>'P&amp;L'!H11</f>
        <v>-228.2701755269122</v>
      </c>
      <c r="F5" s="68">
        <f>'P&amp;L'!I11</f>
        <v>-222.76045895053204</v>
      </c>
      <c r="G5" s="68">
        <f>'P&amp;L'!J11</f>
        <v>-216.97525654533288</v>
      </c>
    </row>
    <row r="6" spans="2:7" x14ac:dyDescent="0.25">
      <c r="B6" s="68" t="s">
        <v>31</v>
      </c>
      <c r="C6" s="68">
        <f>'P&amp;L'!F13</f>
        <v>-651.38663377654564</v>
      </c>
      <c r="D6" s="68">
        <f>'P&amp;L'!G13</f>
        <v>-735.98772776672399</v>
      </c>
      <c r="E6" s="68">
        <f>'P&amp;L'!H13</f>
        <v>-832.13167152328947</v>
      </c>
      <c r="F6" s="68">
        <f>'P&amp;L'!I13</f>
        <v>-939.61775689632088</v>
      </c>
      <c r="G6" s="68">
        <f>'P&amp;L'!J13</f>
        <v>-1059.6997852414622</v>
      </c>
    </row>
    <row r="7" spans="2:7" x14ac:dyDescent="0.25">
      <c r="B7" s="68" t="s">
        <v>135</v>
      </c>
      <c r="C7" s="68">
        <f>-('BALANCE SHEET'!F4-'BALANCE SHEET'!E4)</f>
        <v>-569.52065254941772</v>
      </c>
      <c r="D7" s="68">
        <f>-('BALANCE SHEET'!G4-'BALANCE SHEET'!F4)</f>
        <v>-416.47621026012348</v>
      </c>
      <c r="E7" s="68">
        <f>-('BALANCE SHEET'!H4-'BALANCE SHEET'!G4)</f>
        <v>-463.87120298772516</v>
      </c>
      <c r="F7" s="68">
        <f>-('BALANCE SHEET'!I4-'BALANCE SHEET'!H4)</f>
        <v>-516.65974588772951</v>
      </c>
      <c r="G7" s="55">
        <f>-('BALANCE SHEET'!J4-'BALANCE SHEET'!I4)</f>
        <v>-575.45562496975253</v>
      </c>
    </row>
    <row r="8" spans="2:7" x14ac:dyDescent="0.25">
      <c r="B8" s="68" t="s">
        <v>136</v>
      </c>
      <c r="C8" s="68">
        <f>-('BALANCE SHEET'!F5-'BALANCE SHEET'!E5)</f>
        <v>-570.78238239667417</v>
      </c>
      <c r="D8" s="68">
        <f>-('BALANCE SHEET'!G5-'BALANCE SHEET'!F5)</f>
        <v>-289.3117351167416</v>
      </c>
      <c r="E8" s="68">
        <f>-('BALANCE SHEET'!H5-'BALANCE SHEET'!G5)</f>
        <v>-322.23541057302646</v>
      </c>
      <c r="F8" s="68">
        <f>-('BALANCE SHEET'!I5-'BALANCE SHEET'!H5)</f>
        <v>-358.90580029623743</v>
      </c>
      <c r="G8" s="55">
        <f>-('BALANCE SHEET'!J5-'BALANCE SHEET'!I5)</f>
        <v>-399.74928036994879</v>
      </c>
    </row>
    <row r="9" spans="2:7" x14ac:dyDescent="0.25">
      <c r="B9" s="68" t="s">
        <v>137</v>
      </c>
      <c r="C9" s="68">
        <f>'BALANCE SHEET'!F11-'BALANCE SHEET'!E11</f>
        <v>453.08812387465377</v>
      </c>
      <c r="D9" s="68">
        <f>'BALANCE SHEET'!G11-'BALANCE SHEET'!F11</f>
        <v>296.00382849693551</v>
      </c>
      <c r="E9" s="68">
        <f>'BALANCE SHEET'!H11-'BALANCE SHEET'!G11</f>
        <v>329.68906417988683</v>
      </c>
      <c r="F9" s="68">
        <f>'BALANCE SHEET'!I11-'BALANCE SHEET'!H11</f>
        <v>367.20767968355722</v>
      </c>
      <c r="G9" s="55">
        <f>'BALANCE SHEET'!J11-'BALANCE SHEET'!I11</f>
        <v>408.99591363154741</v>
      </c>
    </row>
    <row r="10" spans="2:7" x14ac:dyDescent="0.25">
      <c r="B10" s="68" t="s">
        <v>138</v>
      </c>
      <c r="C10" s="68">
        <f>-('BALANCE SHEET'!F9-'BALANCE SHEET'!E9)</f>
        <v>-325.85006684995074</v>
      </c>
      <c r="D10" s="68">
        <f>-('BALANCE SHEET'!G9-'BALANCE SHEET'!F9)</f>
        <v>-268.58507760752445</v>
      </c>
      <c r="E10" s="68">
        <f>-('BALANCE SHEET'!H9-'BALANCE SHEET'!G9)</f>
        <v>-299.15005943926053</v>
      </c>
      <c r="F10" s="68">
        <f>-('BALANCE SHEET'!I9-'BALANCE SHEET'!H9)</f>
        <v>-333.19333620344833</v>
      </c>
      <c r="G10" s="55">
        <f>-('BALANCE SHEET'!J9-'BALANCE SHEET'!I9)</f>
        <v>-371.11073786340103</v>
      </c>
    </row>
    <row r="11" spans="2:7" x14ac:dyDescent="0.25">
      <c r="B11" s="68" t="s">
        <v>139</v>
      </c>
      <c r="C11" s="68">
        <f>'BALANCE SHEET'!F14-'BALANCE SHEET'!E14</f>
        <v>259.2488207486565</v>
      </c>
      <c r="D11" s="68">
        <f>'BALANCE SHEET'!G14-'BALANCE SHEET'!F14</f>
        <v>157.44785580119697</v>
      </c>
      <c r="E11" s="68">
        <f>'BALANCE SHEET'!H14-'BALANCE SHEET'!G14</f>
        <v>175.36542179137336</v>
      </c>
      <c r="F11" s="68">
        <f>'BALANCE SHEET'!I14-'BALANCE SHEET'!H14</f>
        <v>195.32200679123139</v>
      </c>
      <c r="G11" s="55">
        <f>'BALANCE SHEET'!J14-'BALANCE SHEET'!I14</f>
        <v>217.54965116407357</v>
      </c>
    </row>
    <row r="12" spans="2:7" ht="15.75" thickBot="1" x14ac:dyDescent="0.3">
      <c r="B12" s="68" t="s">
        <v>164</v>
      </c>
      <c r="C12" s="68">
        <f>-'FIXED ASSETS '!F6</f>
        <v>-678.00397034464322</v>
      </c>
      <c r="D12" s="68">
        <f>-'FIXED ASSETS '!G6</f>
        <v>-589.05198517232157</v>
      </c>
      <c r="E12" s="68">
        <f>-'FIXED ASSETS '!H6</f>
        <v>-589.05198517232157</v>
      </c>
      <c r="F12" s="68">
        <f>-'FIXED ASSETS '!I6</f>
        <v>-589.05198517232157</v>
      </c>
      <c r="G12" s="68">
        <f>-'FIXED ASSETS '!J6</f>
        <v>-589.05198517232157</v>
      </c>
    </row>
    <row r="13" spans="2:7" ht="15.75" thickBot="1" x14ac:dyDescent="0.3">
      <c r="B13" s="69" t="s">
        <v>140</v>
      </c>
      <c r="C13" s="200">
        <f>SUM(C4:C12)</f>
        <v>1732.5989293226453</v>
      </c>
      <c r="D13" s="200">
        <f t="shared" ref="D13:G13" si="1">SUM(D4:D12)</f>
        <v>2436.2238089361545</v>
      </c>
      <c r="E13" s="200">
        <f t="shared" si="1"/>
        <v>2799.9332973942087</v>
      </c>
      <c r="F13" s="200">
        <f t="shared" si="1"/>
        <v>3204.2971839479374</v>
      </c>
      <c r="G13" s="201">
        <f t="shared" si="1"/>
        <v>3653.9621344172542</v>
      </c>
    </row>
    <row r="14" spans="2:7" x14ac:dyDescent="0.25">
      <c r="B14" s="68" t="s">
        <v>131</v>
      </c>
      <c r="C14" s="68">
        <f>EQUITY!F11</f>
        <v>-833.08922109316097</v>
      </c>
      <c r="D14" s="68">
        <f>EQUITY!G11</f>
        <v>-941.28956761744166</v>
      </c>
      <c r="E14" s="68">
        <f>EQUITY!H11</f>
        <v>-1064.2526114745228</v>
      </c>
      <c r="F14" s="68">
        <f>EQUITY!I11</f>
        <v>-1201.7216575042421</v>
      </c>
      <c r="G14" s="68">
        <f>EQUITY!J11</f>
        <v>-1355.3002516509225</v>
      </c>
    </row>
    <row r="15" spans="2:7" x14ac:dyDescent="0.25">
      <c r="B15" s="68" t="s">
        <v>141</v>
      </c>
      <c r="C15" s="68">
        <f>'FINANCIAL LIABILITIES'!G13-'FINANCIAL LIABILITIES'!F13</f>
        <v>377.08049294548437</v>
      </c>
      <c r="D15" s="68">
        <f>'FINANCIAL LIABILITIES'!H13-'FINANCIAL LIABILITIES'!G13</f>
        <v>409.79106688730735</v>
      </c>
      <c r="E15" s="68">
        <f>'FINANCIAL LIABILITIES'!I13-'FINANCIAL LIABILITIES'!H13</f>
        <v>445.52282445567653</v>
      </c>
      <c r="F15" s="68">
        <f>'FINANCIAL LIABILITIES'!J13-'FINANCIAL LIABILITIES'!I13</f>
        <v>484.56539032486398</v>
      </c>
      <c r="G15" s="68">
        <f>'FINANCIAL LIABILITIES'!K13-'FINANCIAL LIABILITIES'!J13</f>
        <v>527.236726952151</v>
      </c>
    </row>
    <row r="16" spans="2:7" x14ac:dyDescent="0.25">
      <c r="B16" s="68" t="s">
        <v>165</v>
      </c>
      <c r="C16" s="68">
        <v>0</v>
      </c>
      <c r="D16" s="68">
        <v>0</v>
      </c>
      <c r="E16" s="68">
        <v>0</v>
      </c>
      <c r="F16" s="68">
        <v>0</v>
      </c>
      <c r="G16" s="68">
        <v>0</v>
      </c>
    </row>
    <row r="17" spans="2:7" x14ac:dyDescent="0.25">
      <c r="B17" s="68" t="s">
        <v>142</v>
      </c>
      <c r="C17" s="68">
        <f>'[1]Balance Sheet'!E13-'[1]Balance Sheet'!D13</f>
        <v>0</v>
      </c>
      <c r="D17" s="68">
        <f>'[1]Balance Sheet'!F13-'[1]Balance Sheet'!E13</f>
        <v>0</v>
      </c>
      <c r="E17" s="68">
        <f>'[1]Balance Sheet'!G13-'[1]Balance Sheet'!F13</f>
        <v>0</v>
      </c>
      <c r="F17" s="68">
        <f>'[1]Balance Sheet'!H13-'[1]Balance Sheet'!G13</f>
        <v>0</v>
      </c>
      <c r="G17" s="55">
        <f>'[1]Balance Sheet'!I13-'[1]Balance Sheet'!H13</f>
        <v>0</v>
      </c>
    </row>
    <row r="18" spans="2:7" ht="15.75" thickBot="1" x14ac:dyDescent="0.3">
      <c r="B18" s="68" t="s">
        <v>143</v>
      </c>
      <c r="C18" s="68">
        <f>0</f>
        <v>0</v>
      </c>
      <c r="D18" s="197">
        <f>0</f>
        <v>0</v>
      </c>
      <c r="E18" s="197">
        <f>0</f>
        <v>0</v>
      </c>
      <c r="F18" s="197">
        <f>0</f>
        <v>0</v>
      </c>
      <c r="G18" s="197">
        <f>0</f>
        <v>0</v>
      </c>
    </row>
    <row r="19" spans="2:7" ht="15.75" thickBot="1" x14ac:dyDescent="0.3">
      <c r="B19" s="71" t="s">
        <v>144</v>
      </c>
      <c r="C19" s="63">
        <f>SUM(C13:C18)</f>
        <v>1276.5902011749686</v>
      </c>
      <c r="D19" s="63">
        <f t="shared" ref="D19:G19" si="2">SUM(D13:D18)</f>
        <v>1904.7253082060201</v>
      </c>
      <c r="E19" s="63">
        <f t="shared" si="2"/>
        <v>2181.2035103753624</v>
      </c>
      <c r="F19" s="63">
        <f t="shared" si="2"/>
        <v>2487.1409167685592</v>
      </c>
      <c r="G19" s="64">
        <f t="shared" si="2"/>
        <v>2825.8986097184825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B7F3-334F-46D6-B8B3-0ECE4087B8C5}">
  <dimension ref="A3:K27"/>
  <sheetViews>
    <sheetView tabSelected="1" topLeftCell="A15" workbookViewId="0">
      <selection activeCell="I15" sqref="I15"/>
    </sheetView>
  </sheetViews>
  <sheetFormatPr defaultRowHeight="15" x14ac:dyDescent="0.25"/>
  <cols>
    <col min="3" max="3" width="24.7109375" customWidth="1"/>
    <col min="4" max="4" width="14.85546875" customWidth="1"/>
    <col min="5" max="5" width="12.42578125" customWidth="1"/>
    <col min="6" max="6" width="14.7109375" customWidth="1"/>
    <col min="7" max="7" width="14.140625" customWidth="1"/>
    <col min="8" max="8" width="12.140625" customWidth="1"/>
    <col min="9" max="9" width="12.42578125" customWidth="1"/>
    <col min="10" max="11" width="11.85546875" customWidth="1"/>
  </cols>
  <sheetData>
    <row r="3" spans="1:11" ht="15.75" thickBot="1" x14ac:dyDescent="0.3"/>
    <row r="4" spans="1:11" ht="19.5" thickBot="1" x14ac:dyDescent="0.35">
      <c r="C4" s="211" t="s">
        <v>177</v>
      </c>
      <c r="D4" s="209">
        <v>44926</v>
      </c>
      <c r="E4" s="209">
        <v>45291</v>
      </c>
      <c r="F4" s="209">
        <v>45657</v>
      </c>
      <c r="G4" s="209">
        <v>46022</v>
      </c>
      <c r="H4" s="209">
        <v>46387</v>
      </c>
      <c r="I4" s="209">
        <v>46752</v>
      </c>
      <c r="J4" s="209">
        <v>47118</v>
      </c>
      <c r="K4" s="210">
        <v>47483</v>
      </c>
    </row>
    <row r="5" spans="1:11" x14ac:dyDescent="0.25">
      <c r="C5" s="212" t="s">
        <v>176</v>
      </c>
      <c r="D5" s="204">
        <f>SUM('BALANCE SHEET'!C11,'BALANCE SHEET'!C12,'BALANCE SHEET'!C13,'BALANCE SHEET'!C14)</f>
        <v>11976.400000000001</v>
      </c>
      <c r="E5" s="205">
        <f>SUM('BALANCE SHEET'!D11,'BALANCE SHEET'!D12,'BALANCE SHEET'!D13,'BALANCE SHEET'!D14)</f>
        <v>12374.9</v>
      </c>
      <c r="F5" s="205">
        <f>SUM('BALANCE SHEET'!E11,'BALANCE SHEET'!E12,'BALANCE SHEET'!E13,'BALANCE SHEET'!E14)</f>
        <v>12659.8</v>
      </c>
      <c r="G5" s="205">
        <f>SUM('BALANCE SHEET'!F11,'BALANCE SHEET'!F12,'BALANCE SHEET'!F13,'BALANCE SHEET'!F14)</f>
        <v>13749.217437568794</v>
      </c>
      <c r="H5" s="205">
        <f>SUM('BALANCE SHEET'!G11,'BALANCE SHEET'!G12,'BALANCE SHEET'!G13,'BALANCE SHEET'!G14)</f>
        <v>14612.460188754236</v>
      </c>
      <c r="I5" s="205">
        <f>SUM('BALANCE SHEET'!H11,'BALANCE SHEET'!H12,'BALANCE SHEET'!H13,'BALANCE SHEET'!H14)</f>
        <v>15563.037499181173</v>
      </c>
      <c r="J5" s="205">
        <f>SUM('BALANCE SHEET'!I11,'BALANCE SHEET'!I12,'BALANCE SHEET'!I13,'BALANCE SHEET'!I14)</f>
        <v>16610.132575980824</v>
      </c>
      <c r="K5" s="206">
        <f>SUM('BALANCE SHEET'!J11,'BALANCE SHEET'!J12,'BALANCE SHEET'!J13,'BALANCE SHEET'!J14)</f>
        <v>17763.914867728596</v>
      </c>
    </row>
    <row r="6" spans="1:11" ht="15.75" thickBot="1" x14ac:dyDescent="0.3">
      <c r="C6" s="213" t="s">
        <v>122</v>
      </c>
      <c r="D6" s="207">
        <f>EQUITY!C12</f>
        <v>6105.2</v>
      </c>
      <c r="E6" s="203">
        <f>EQUITY!D12</f>
        <v>7017</v>
      </c>
      <c r="F6" s="203">
        <f>EQUITY!E12</f>
        <v>7486.9</v>
      </c>
      <c r="G6" s="203">
        <f>EQUITY!F12</f>
        <v>9430.7748492173741</v>
      </c>
      <c r="H6" s="203">
        <f>EQUITY!G12</f>
        <v>11627.117173658073</v>
      </c>
      <c r="I6" s="203">
        <f>EQUITY!H12</f>
        <v>14110.373267098625</v>
      </c>
      <c r="J6" s="203">
        <f>EQUITY!I12</f>
        <v>16914.390467941856</v>
      </c>
      <c r="K6" s="208">
        <f>EQUITY!J12</f>
        <v>20076.757721794009</v>
      </c>
    </row>
    <row r="7" spans="1:11" ht="15.75" thickBot="1" x14ac:dyDescent="0.3">
      <c r="E7" s="190"/>
      <c r="F7" s="190"/>
      <c r="G7" s="190"/>
      <c r="H7" s="190"/>
      <c r="I7" s="190"/>
      <c r="J7" s="190"/>
      <c r="K7" s="232"/>
    </row>
    <row r="8" spans="1:11" ht="15.75" thickBot="1" x14ac:dyDescent="0.3">
      <c r="B8" s="202"/>
      <c r="C8" s="214" t="s">
        <v>175</v>
      </c>
      <c r="D8" s="227">
        <f t="shared" ref="D8:K8" si="0">D5/D10</f>
        <v>0.66235288912485624</v>
      </c>
      <c r="E8" s="227">
        <f t="shared" si="0"/>
        <v>0.63814788648868848</v>
      </c>
      <c r="F8" s="227">
        <f t="shared" si="0"/>
        <v>0.62838082663662043</v>
      </c>
      <c r="G8" s="227">
        <f t="shared" si="0"/>
        <v>0.59315021624949293</v>
      </c>
      <c r="H8" s="227">
        <f t="shared" si="0"/>
        <v>0.55688626333160018</v>
      </c>
      <c r="I8" s="227">
        <f t="shared" si="0"/>
        <v>0.52447754057537133</v>
      </c>
      <c r="J8" s="227">
        <f t="shared" si="0"/>
        <v>0.49546215927423631</v>
      </c>
      <c r="K8" s="228">
        <f t="shared" si="0"/>
        <v>0.46943972324231631</v>
      </c>
    </row>
    <row r="9" spans="1:11" ht="15.75" thickBot="1" x14ac:dyDescent="0.3">
      <c r="A9" s="190"/>
      <c r="B9" s="202"/>
      <c r="C9" s="214" t="s">
        <v>174</v>
      </c>
      <c r="D9" s="215">
        <f t="shared" ref="D9:K9" si="1">D6/D10</f>
        <v>0.33764711087514376</v>
      </c>
      <c r="E9" s="215">
        <f t="shared" si="1"/>
        <v>0.36185211351131141</v>
      </c>
      <c r="F9" s="215">
        <f t="shared" si="1"/>
        <v>0.37161917336337963</v>
      </c>
      <c r="G9" s="215">
        <f t="shared" si="1"/>
        <v>0.40684978375050707</v>
      </c>
      <c r="H9" s="215">
        <f t="shared" si="1"/>
        <v>0.44311373666839976</v>
      </c>
      <c r="I9" s="215">
        <f t="shared" si="1"/>
        <v>0.47552245942462867</v>
      </c>
      <c r="J9" s="215">
        <f t="shared" si="1"/>
        <v>0.50453784072576369</v>
      </c>
      <c r="K9" s="216">
        <f t="shared" si="1"/>
        <v>0.53056027675768369</v>
      </c>
    </row>
    <row r="10" spans="1:11" ht="15.75" thickBot="1" x14ac:dyDescent="0.3">
      <c r="C10" s="213" t="s">
        <v>173</v>
      </c>
      <c r="D10" s="217">
        <f t="shared" ref="D10:K10" si="2">D5+D6</f>
        <v>18081.600000000002</v>
      </c>
      <c r="E10" s="218">
        <f t="shared" si="2"/>
        <v>19391.900000000001</v>
      </c>
      <c r="F10" s="218">
        <f t="shared" si="2"/>
        <v>20146.699999999997</v>
      </c>
      <c r="G10" s="218">
        <f t="shared" si="2"/>
        <v>23179.992286786168</v>
      </c>
      <c r="H10" s="218">
        <f t="shared" si="2"/>
        <v>26239.57736241231</v>
      </c>
      <c r="I10" s="218">
        <f t="shared" si="2"/>
        <v>29673.410766279798</v>
      </c>
      <c r="J10" s="218">
        <f t="shared" si="2"/>
        <v>33524.52304392268</v>
      </c>
      <c r="K10" s="219">
        <f t="shared" si="2"/>
        <v>37840.672589522605</v>
      </c>
    </row>
    <row r="11" spans="1:11" ht="16.5" thickBot="1" x14ac:dyDescent="0.3">
      <c r="C11" s="231" t="s">
        <v>183</v>
      </c>
      <c r="D11" s="229">
        <f>D14*D8*(1-'P&amp;L'!C23)+D9*D15</f>
        <v>0.14275642752853729</v>
      </c>
      <c r="E11" s="229">
        <f>D14*E8*(1-'P&amp;L'!D23)+E9*D15</f>
        <v>0.15008691257690066</v>
      </c>
      <c r="F11" s="229">
        <f>D14*F8*(1-'P&amp;L'!E23)+F9*D15</f>
        <v>0.15304486665309952</v>
      </c>
      <c r="G11" s="229">
        <f>D14*G8*(1-'P&amp;L'!F23)+G9*D15</f>
        <v>0.16371445700884107</v>
      </c>
      <c r="H11" s="229">
        <f>D14*H8*(1-'P&amp;L'!G23)+H9*D15</f>
        <v>0.17469699515002485</v>
      </c>
      <c r="I11" s="229">
        <f>D14*I8*(1-'P&amp;L'!H23)+I9*D15</f>
        <v>0.1845119768367488</v>
      </c>
      <c r="J11" s="229">
        <f>D14*J8*(1-'P&amp;L'!I23)+J9*D15</f>
        <v>0.19329928506379754</v>
      </c>
      <c r="K11" s="230">
        <f>D14*K8*(1-'P&amp;L'!J23)+K9*D15</f>
        <v>0.20118017981606451</v>
      </c>
    </row>
    <row r="13" spans="1:11" ht="15.75" thickBot="1" x14ac:dyDescent="0.3"/>
    <row r="14" spans="1:11" x14ac:dyDescent="0.25">
      <c r="C14" s="224" t="s">
        <v>178</v>
      </c>
      <c r="D14" s="220">
        <f>'FINANCIAL LIABILITIES'!D17</f>
        <v>0.05</v>
      </c>
    </row>
    <row r="15" spans="1:11" x14ac:dyDescent="0.25">
      <c r="C15" s="225" t="s">
        <v>182</v>
      </c>
      <c r="D15" s="221">
        <f>D17+(D18*(D16-D17))</f>
        <v>0.34334999999999999</v>
      </c>
    </row>
    <row r="16" spans="1:11" x14ac:dyDescent="0.25">
      <c r="C16" s="225" t="s">
        <v>179</v>
      </c>
      <c r="D16" s="222">
        <v>0.3</v>
      </c>
    </row>
    <row r="17" spans="3:9" x14ac:dyDescent="0.25">
      <c r="C17" s="225" t="s">
        <v>180</v>
      </c>
      <c r="D17" s="222">
        <v>4.4999999999999998E-2</v>
      </c>
    </row>
    <row r="18" spans="3:9" ht="15.75" thickBot="1" x14ac:dyDescent="0.3">
      <c r="C18" s="226" t="s">
        <v>181</v>
      </c>
      <c r="D18" s="223">
        <v>1.17</v>
      </c>
    </row>
    <row r="20" spans="3:9" ht="15.75" thickBot="1" x14ac:dyDescent="0.3"/>
    <row r="21" spans="3:9" ht="15.75" thickBot="1" x14ac:dyDescent="0.3">
      <c r="D21" s="235">
        <v>2025</v>
      </c>
      <c r="E21" s="183">
        <f>D21+1</f>
        <v>2026</v>
      </c>
      <c r="F21" s="183">
        <f t="shared" ref="F21:H21" si="3">E21+1</f>
        <v>2027</v>
      </c>
      <c r="G21" s="183">
        <f t="shared" si="3"/>
        <v>2028</v>
      </c>
      <c r="H21" s="234">
        <f t="shared" si="3"/>
        <v>2029</v>
      </c>
    </row>
    <row r="22" spans="3:9" ht="16.5" thickBot="1" x14ac:dyDescent="0.3">
      <c r="C22" s="233" t="s">
        <v>184</v>
      </c>
      <c r="D22" s="236">
        <f>'CASH FLOW'!C19</f>
        <v>1276.5902011749686</v>
      </c>
      <c r="E22" s="237">
        <f>'CASH FLOW'!D19</f>
        <v>1904.7253082060201</v>
      </c>
      <c r="F22" s="237">
        <f>'CASH FLOW'!E19</f>
        <v>2181.2035103753624</v>
      </c>
      <c r="G22" s="237">
        <f>'CASH FLOW'!F19</f>
        <v>2487.1409167685592</v>
      </c>
      <c r="H22" s="238">
        <f>'CASH FLOW'!G19</f>
        <v>2825.8986097184825</v>
      </c>
    </row>
    <row r="23" spans="3:9" ht="15.75" thickBot="1" x14ac:dyDescent="0.3">
      <c r="H23" s="243">
        <f>H22*(1+0.05)</f>
        <v>2967.1935402044069</v>
      </c>
    </row>
    <row r="24" spans="3:9" ht="16.5" thickBot="1" x14ac:dyDescent="0.3">
      <c r="C24" s="240" t="s">
        <v>185</v>
      </c>
      <c r="D24" s="241">
        <f>PV(G11,1,0,-E24)</f>
        <v>6354.6465695455599</v>
      </c>
      <c r="E24" s="241">
        <f>PV(H11,1,0,-F24)</f>
        <v>7394.9940821618065</v>
      </c>
      <c r="F24" s="241">
        <f>PV(I11,1,0,-G24)</f>
        <v>8686.8773274676896</v>
      </c>
      <c r="G24" s="241">
        <f>PV(J11,1,0,-H24)</f>
        <v>10289.710235697086</v>
      </c>
      <c r="H24" s="242">
        <f>PV(K11,1,0,-I24)</f>
        <v>12278.703867770973</v>
      </c>
      <c r="I24" s="244">
        <f>H23/K11</f>
        <v>14748.935719797346</v>
      </c>
    </row>
    <row r="25" spans="3:9" ht="15.75" thickBot="1" x14ac:dyDescent="0.3"/>
    <row r="26" spans="3:9" ht="15.75" thickBot="1" x14ac:dyDescent="0.3">
      <c r="D26" s="245">
        <f>PV(G11,1,0,-D22)</f>
        <v>1096.996083090914</v>
      </c>
      <c r="E26" s="246">
        <f>PV(H11,2,0,-E22)</f>
        <v>1380.3227205078861</v>
      </c>
      <c r="F26" s="246">
        <f>PV(I11,3,0,-F22)</f>
        <v>1312.4350464564861</v>
      </c>
      <c r="G26" s="246">
        <f>PV(J11,4,0,-G22)</f>
        <v>1226.5997464381553</v>
      </c>
      <c r="H26" s="247">
        <f>PV(K11,5,0,-H22)</f>
        <v>1130.0971727343519</v>
      </c>
      <c r="I26" s="248">
        <f>SUM(D26:H26)</f>
        <v>6146.4507692277939</v>
      </c>
    </row>
    <row r="27" spans="3:9" x14ac:dyDescent="0.25">
      <c r="D27" s="23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597DD-4C90-4A86-926E-9409FE77D1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1866(ZAIN)</vt:lpstr>
      <vt:lpstr>DATA</vt:lpstr>
      <vt:lpstr>P&amp;L</vt:lpstr>
      <vt:lpstr>FIXED ASSETS </vt:lpstr>
      <vt:lpstr>BALANCE SHEET</vt:lpstr>
      <vt:lpstr>FINANCIAL LIABILITIES</vt:lpstr>
      <vt:lpstr>EQUITY</vt:lpstr>
      <vt:lpstr>CASH FLOW</vt:lpstr>
      <vt:lpstr>FIRM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2025-10-17T06:55:06Z</dcterms:created>
  <dcterms:modified xsi:type="dcterms:W3CDTF">2025-10-26T16:10:33Z</dcterms:modified>
</cp:coreProperties>
</file>